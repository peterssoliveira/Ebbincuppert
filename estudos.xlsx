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Folha1" sheetId="1" r:id="rId1"/>
    <sheet name="Folha4" sheetId="4" r:id="rId2"/>
    <sheet name="Calendário" sheetId="2" r:id="rId3"/>
    <sheet name="registro" sheetId="3" r:id="rId4"/>
  </sheets>
  <definedNames>
    <definedName name="_xlnm._FilterDatabase" localSheetId="2" hidden="1">Calendário!$A$1:$G$304</definedName>
    <definedName name="_xlnm._FilterDatabase" localSheetId="0" hidden="1">Folha1!$A$1:$G$321</definedName>
  </definedNames>
  <calcPr calcId="152511"/>
</workbook>
</file>

<file path=xl/calcChain.xml><?xml version="1.0" encoding="utf-8"?>
<calcChain xmlns="http://schemas.openxmlformats.org/spreadsheetml/2006/main">
  <c r="B2" i="3" l="1"/>
  <c r="H2" i="3"/>
  <c r="G2" i="3"/>
  <c r="F2" i="3"/>
  <c r="E2" i="3"/>
  <c r="D2" i="3"/>
  <c r="C3" i="2"/>
  <c r="D6" i="2"/>
  <c r="B4" i="2"/>
  <c r="B2" i="2"/>
  <c r="C11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2" i="1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" i="2"/>
  <c r="B5" i="2"/>
  <c r="B6" i="2"/>
  <c r="B7" i="2"/>
  <c r="B8" i="2"/>
  <c r="B9" i="2"/>
  <c r="B10" i="2"/>
  <c r="D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A2" i="4"/>
  <c r="A3" i="4"/>
  <c r="A4" i="4"/>
  <c r="A5" i="4"/>
  <c r="A6" i="4"/>
  <c r="A7" i="4"/>
  <c r="A8" i="4"/>
  <c r="A9" i="4"/>
  <c r="A10" i="4"/>
  <c r="A11" i="4"/>
  <c r="A12" i="4"/>
  <c r="A13" i="4"/>
  <c r="A1" i="4"/>
  <c r="H33" i="3"/>
  <c r="D33" i="3"/>
  <c r="E33" i="3" s="1"/>
  <c r="F33" i="3" s="1"/>
  <c r="G33" i="3" s="1"/>
  <c r="D32" i="3"/>
  <c r="E32" i="3" s="1"/>
  <c r="F32" i="3" s="1"/>
  <c r="G32" i="3" s="1"/>
  <c r="H32" i="3" s="1"/>
  <c r="D31" i="3"/>
  <c r="E31" i="3" s="1"/>
  <c r="F31" i="3" s="1"/>
  <c r="G31" i="3" s="1"/>
  <c r="H31" i="3" s="1"/>
  <c r="D30" i="3"/>
  <c r="E30" i="3" s="1"/>
  <c r="F30" i="3" s="1"/>
  <c r="G30" i="3" s="1"/>
  <c r="H30" i="3" s="1"/>
  <c r="D29" i="3"/>
  <c r="E29" i="3" s="1"/>
  <c r="F29" i="3" s="1"/>
  <c r="G29" i="3" s="1"/>
  <c r="H29" i="3" s="1"/>
  <c r="D28" i="3"/>
  <c r="E28" i="3" s="1"/>
  <c r="F28" i="3" s="1"/>
  <c r="G28" i="3" s="1"/>
  <c r="H28" i="3" s="1"/>
  <c r="D27" i="3"/>
  <c r="E27" i="3" s="1"/>
  <c r="F27" i="3" s="1"/>
  <c r="G27" i="3" s="1"/>
  <c r="H27" i="3" s="1"/>
  <c r="D26" i="3"/>
  <c r="E26" i="3" s="1"/>
  <c r="F26" i="3" s="1"/>
  <c r="G26" i="3" s="1"/>
  <c r="H26" i="3" s="1"/>
  <c r="D25" i="3"/>
  <c r="E25" i="3" s="1"/>
  <c r="F25" i="3" s="1"/>
  <c r="G25" i="3" s="1"/>
  <c r="H25" i="3" s="1"/>
  <c r="D24" i="3"/>
  <c r="E24" i="3" s="1"/>
  <c r="F24" i="3" s="1"/>
  <c r="G24" i="3" s="1"/>
  <c r="H24" i="3" s="1"/>
  <c r="D23" i="3"/>
  <c r="E23" i="3" s="1"/>
  <c r="F23" i="3" s="1"/>
  <c r="G23" i="3" s="1"/>
  <c r="H23" i="3" s="1"/>
  <c r="D22" i="3"/>
  <c r="E22" i="3" s="1"/>
  <c r="F22" i="3" s="1"/>
  <c r="G22" i="3" s="1"/>
  <c r="H22" i="3" s="1"/>
  <c r="D21" i="3"/>
  <c r="E21" i="3" s="1"/>
  <c r="F21" i="3" s="1"/>
  <c r="G21" i="3" s="1"/>
  <c r="H21" i="3" s="1"/>
  <c r="D20" i="3"/>
  <c r="E20" i="3" s="1"/>
  <c r="F20" i="3" s="1"/>
  <c r="G20" i="3" s="1"/>
  <c r="H20" i="3" s="1"/>
  <c r="D19" i="3"/>
  <c r="E19" i="3" s="1"/>
  <c r="F19" i="3" s="1"/>
  <c r="G19" i="3" s="1"/>
  <c r="H19" i="3" s="1"/>
  <c r="D18" i="3"/>
  <c r="E18" i="3" s="1"/>
  <c r="F18" i="3" s="1"/>
  <c r="G18" i="3" s="1"/>
  <c r="H18" i="3" s="1"/>
  <c r="D17" i="3"/>
  <c r="E17" i="3" s="1"/>
  <c r="F17" i="3" s="1"/>
  <c r="G17" i="3" s="1"/>
  <c r="H17" i="3" s="1"/>
  <c r="D16" i="3"/>
  <c r="E16" i="3" s="1"/>
  <c r="F16" i="3" s="1"/>
  <c r="G16" i="3" s="1"/>
  <c r="H16" i="3" s="1"/>
  <c r="D15" i="3"/>
  <c r="E15" i="3" s="1"/>
  <c r="F15" i="3" s="1"/>
  <c r="G15" i="3" s="1"/>
  <c r="H15" i="3" s="1"/>
  <c r="D14" i="3"/>
  <c r="E14" i="3" s="1"/>
  <c r="F14" i="3" s="1"/>
  <c r="G14" i="3" s="1"/>
  <c r="H14" i="3" s="1"/>
  <c r="D13" i="3"/>
  <c r="E13" i="3" s="1"/>
  <c r="F13" i="3" s="1"/>
  <c r="G13" i="3" s="1"/>
  <c r="H13" i="3" s="1"/>
  <c r="D12" i="3"/>
  <c r="E12" i="3" s="1"/>
  <c r="F12" i="3" s="1"/>
  <c r="G12" i="3" s="1"/>
  <c r="H12" i="3" s="1"/>
  <c r="D11" i="3"/>
  <c r="E11" i="3" s="1"/>
  <c r="F11" i="3" s="1"/>
  <c r="G11" i="3" s="1"/>
  <c r="H11" i="3" s="1"/>
  <c r="D10" i="3"/>
  <c r="E10" i="3" s="1"/>
  <c r="F10" i="3" s="1"/>
  <c r="G10" i="3" s="1"/>
  <c r="H10" i="3" s="1"/>
  <c r="D9" i="3"/>
  <c r="E9" i="3" s="1"/>
  <c r="F9" i="3" s="1"/>
  <c r="G9" i="3" s="1"/>
  <c r="H9" i="3" s="1"/>
  <c r="D8" i="3"/>
  <c r="E8" i="3" s="1"/>
  <c r="F8" i="3" s="1"/>
  <c r="G8" i="3" s="1"/>
  <c r="H8" i="3" s="1"/>
  <c r="D7" i="3"/>
  <c r="E7" i="3" s="1"/>
  <c r="F7" i="3" s="1"/>
  <c r="G7" i="3" s="1"/>
  <c r="H7" i="3" s="1"/>
  <c r="D6" i="3"/>
  <c r="E6" i="3" s="1"/>
  <c r="F6" i="3" s="1"/>
  <c r="G6" i="3" s="1"/>
  <c r="H6" i="3" s="1"/>
  <c r="D5" i="3"/>
  <c r="E5" i="3" s="1"/>
  <c r="F5" i="3" s="1"/>
  <c r="G5" i="3" s="1"/>
  <c r="H5" i="3" s="1"/>
  <c r="D4" i="3"/>
  <c r="E4" i="3" s="1"/>
  <c r="F4" i="3" s="1"/>
  <c r="G4" i="3" s="1"/>
  <c r="H4" i="3" s="1"/>
  <c r="D3" i="3"/>
  <c r="C4" i="2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2" i="1"/>
  <c r="C230" i="2" l="1"/>
  <c r="C2" i="2"/>
  <c r="C15" i="2"/>
  <c r="C5" i="2"/>
  <c r="C278" i="2"/>
  <c r="C270" i="2"/>
  <c r="C23" i="2"/>
  <c r="C286" i="2"/>
  <c r="C238" i="2"/>
  <c r="C294" i="2"/>
  <c r="C262" i="2"/>
  <c r="C25" i="2"/>
  <c r="C17" i="2"/>
  <c r="C7" i="2"/>
  <c r="C296" i="2"/>
  <c r="C288" i="2"/>
  <c r="C280" i="2"/>
  <c r="C272" i="2"/>
  <c r="C264" i="2"/>
  <c r="C254" i="2"/>
  <c r="C19" i="2"/>
  <c r="C9" i="2"/>
  <c r="C298" i="2"/>
  <c r="C290" i="2"/>
  <c r="C282" i="2"/>
  <c r="C274" i="2"/>
  <c r="C266" i="2"/>
  <c r="C246" i="2"/>
  <c r="C21" i="2"/>
  <c r="C13" i="2"/>
  <c r="C292" i="2"/>
  <c r="C284" i="2"/>
  <c r="C276" i="2"/>
  <c r="C268" i="2"/>
  <c r="E3" i="3"/>
  <c r="C26" i="2"/>
  <c r="C28" i="2"/>
  <c r="C30" i="2"/>
  <c r="C32" i="2"/>
  <c r="C34" i="2"/>
  <c r="C36" i="2"/>
  <c r="C38" i="2"/>
  <c r="C40" i="2"/>
  <c r="C42" i="2"/>
  <c r="C44" i="2"/>
  <c r="C46" i="2"/>
  <c r="C48" i="2"/>
  <c r="C50" i="2"/>
  <c r="C52" i="2"/>
  <c r="C54" i="2"/>
  <c r="C56" i="2"/>
  <c r="C58" i="2"/>
  <c r="C60" i="2"/>
  <c r="C62" i="2"/>
  <c r="C64" i="2"/>
  <c r="C66" i="2"/>
  <c r="C68" i="2"/>
  <c r="C70" i="2"/>
  <c r="C72" i="2"/>
  <c r="C74" i="2"/>
  <c r="C76" i="2"/>
  <c r="C78" i="2"/>
  <c r="C80" i="2"/>
  <c r="C82" i="2"/>
  <c r="C29" i="2"/>
  <c r="C37" i="2"/>
  <c r="C45" i="2"/>
  <c r="C53" i="2"/>
  <c r="C61" i="2"/>
  <c r="C65" i="2"/>
  <c r="C73" i="2"/>
  <c r="C81" i="2"/>
  <c r="C84" i="2"/>
  <c r="C86" i="2"/>
  <c r="C88" i="2"/>
  <c r="C90" i="2"/>
  <c r="C92" i="2"/>
  <c r="C94" i="2"/>
  <c r="C96" i="2"/>
  <c r="C98" i="2"/>
  <c r="C100" i="2"/>
  <c r="C102" i="2"/>
  <c r="C104" i="2"/>
  <c r="C106" i="2"/>
  <c r="C108" i="2"/>
  <c r="C110" i="2"/>
  <c r="C112" i="2"/>
  <c r="C114" i="2"/>
  <c r="C31" i="2"/>
  <c r="C39" i="2"/>
  <c r="C47" i="2"/>
  <c r="C55" i="2"/>
  <c r="C59" i="2"/>
  <c r="C67" i="2"/>
  <c r="C75" i="2"/>
  <c r="C33" i="2"/>
  <c r="C41" i="2"/>
  <c r="C49" i="2"/>
  <c r="C57" i="2"/>
  <c r="C69" i="2"/>
  <c r="C77" i="2"/>
  <c r="C83" i="2"/>
  <c r="C85" i="2"/>
  <c r="C87" i="2"/>
  <c r="C89" i="2"/>
  <c r="C91" i="2"/>
  <c r="C93" i="2"/>
  <c r="C95" i="2"/>
  <c r="C97" i="2"/>
  <c r="C99" i="2"/>
  <c r="C101" i="2"/>
  <c r="C103" i="2"/>
  <c r="C105" i="2"/>
  <c r="C107" i="2"/>
  <c r="C109" i="2"/>
  <c r="C111" i="2"/>
  <c r="C113" i="2"/>
  <c r="C115" i="2"/>
  <c r="C51" i="2"/>
  <c r="C71" i="2"/>
  <c r="C118" i="2"/>
  <c r="C120" i="2"/>
  <c r="C122" i="2"/>
  <c r="C124" i="2"/>
  <c r="C126" i="2"/>
  <c r="C128" i="2"/>
  <c r="C130" i="2"/>
  <c r="C132" i="2"/>
  <c r="C134" i="2"/>
  <c r="C136" i="2"/>
  <c r="C138" i="2"/>
  <c r="C140" i="2"/>
  <c r="C142" i="2"/>
  <c r="C144" i="2"/>
  <c r="C146" i="2"/>
  <c r="C148" i="2"/>
  <c r="C150" i="2"/>
  <c r="C152" i="2"/>
  <c r="C154" i="2"/>
  <c r="C156" i="2"/>
  <c r="C35" i="2"/>
  <c r="C43" i="2"/>
  <c r="C63" i="2"/>
  <c r="C116" i="2"/>
  <c r="C27" i="2"/>
  <c r="C117" i="2"/>
  <c r="C119" i="2"/>
  <c r="C121" i="2"/>
  <c r="C123" i="2"/>
  <c r="C125" i="2"/>
  <c r="C127" i="2"/>
  <c r="C129" i="2"/>
  <c r="C131" i="2"/>
  <c r="C133" i="2"/>
  <c r="C135" i="2"/>
  <c r="C137" i="2"/>
  <c r="C139" i="2"/>
  <c r="C141" i="2"/>
  <c r="C143" i="2"/>
  <c r="C145" i="2"/>
  <c r="C147" i="2"/>
  <c r="C149" i="2"/>
  <c r="C151" i="2"/>
  <c r="C153" i="2"/>
  <c r="C155" i="2"/>
  <c r="C157" i="2"/>
  <c r="C159" i="2"/>
  <c r="C161" i="2"/>
  <c r="C163" i="2"/>
  <c r="C165" i="2"/>
  <c r="C167" i="2"/>
  <c r="C162" i="2"/>
  <c r="C168" i="2"/>
  <c r="C170" i="2"/>
  <c r="C172" i="2"/>
  <c r="C174" i="2"/>
  <c r="C176" i="2"/>
  <c r="C178" i="2"/>
  <c r="C180" i="2"/>
  <c r="C182" i="2"/>
  <c r="C184" i="2"/>
  <c r="C186" i="2"/>
  <c r="C188" i="2"/>
  <c r="C190" i="2"/>
  <c r="C192" i="2"/>
  <c r="C194" i="2"/>
  <c r="C196" i="2"/>
  <c r="C198" i="2"/>
  <c r="C200" i="2"/>
  <c r="C202" i="2"/>
  <c r="C204" i="2"/>
  <c r="C206" i="2"/>
  <c r="C208" i="2"/>
  <c r="C210" i="2"/>
  <c r="C212" i="2"/>
  <c r="C214" i="2"/>
  <c r="C216" i="2"/>
  <c r="C218" i="2"/>
  <c r="C220" i="2"/>
  <c r="C222" i="2"/>
  <c r="C164" i="2"/>
  <c r="C79" i="2"/>
  <c r="C158" i="2"/>
  <c r="C166" i="2"/>
  <c r="C169" i="2"/>
  <c r="C171" i="2"/>
  <c r="C173" i="2"/>
  <c r="C175" i="2"/>
  <c r="C177" i="2"/>
  <c r="C179" i="2"/>
  <c r="C181" i="2"/>
  <c r="C183" i="2"/>
  <c r="C185" i="2"/>
  <c r="C187" i="2"/>
  <c r="C189" i="2"/>
  <c r="C191" i="2"/>
  <c r="C193" i="2"/>
  <c r="C195" i="2"/>
  <c r="C197" i="2"/>
  <c r="C199" i="2"/>
  <c r="C201" i="2"/>
  <c r="C203" i="2"/>
  <c r="C205" i="2"/>
  <c r="C207" i="2"/>
  <c r="C209" i="2"/>
  <c r="C211" i="2"/>
  <c r="C213" i="2"/>
  <c r="C215" i="2"/>
  <c r="C217" i="2"/>
  <c r="C219" i="2"/>
  <c r="C221" i="2"/>
  <c r="C223" i="2"/>
  <c r="C225" i="2"/>
  <c r="C227" i="2"/>
  <c r="C229" i="2"/>
  <c r="C231" i="2"/>
  <c r="C233" i="2"/>
  <c r="C235" i="2"/>
  <c r="C237" i="2"/>
  <c r="C239" i="2"/>
  <c r="C241" i="2"/>
  <c r="C243" i="2"/>
  <c r="C245" i="2"/>
  <c r="C247" i="2"/>
  <c r="C249" i="2"/>
  <c r="C251" i="2"/>
  <c r="C253" i="2"/>
  <c r="C255" i="2"/>
  <c r="C257" i="2"/>
  <c r="C259" i="2"/>
  <c r="C261" i="2"/>
  <c r="C260" i="2"/>
  <c r="C252" i="2"/>
  <c r="C244" i="2"/>
  <c r="C236" i="2"/>
  <c r="C228" i="2"/>
  <c r="C160" i="2"/>
  <c r="C24" i="2"/>
  <c r="C22" i="2"/>
  <c r="C20" i="2"/>
  <c r="C18" i="2"/>
  <c r="C16" i="2"/>
  <c r="C14" i="2"/>
  <c r="C12" i="2"/>
  <c r="C10" i="2"/>
  <c r="C8" i="2"/>
  <c r="C6" i="2"/>
  <c r="C299" i="2"/>
  <c r="C297" i="2"/>
  <c r="C295" i="2"/>
  <c r="C293" i="2"/>
  <c r="C291" i="2"/>
  <c r="C289" i="2"/>
  <c r="C287" i="2"/>
  <c r="C285" i="2"/>
  <c r="C283" i="2"/>
  <c r="C281" i="2"/>
  <c r="C279" i="2"/>
  <c r="C277" i="2"/>
  <c r="C275" i="2"/>
  <c r="C273" i="2"/>
  <c r="C271" i="2"/>
  <c r="C269" i="2"/>
  <c r="C267" i="2"/>
  <c r="C265" i="2"/>
  <c r="C263" i="2"/>
  <c r="C258" i="2"/>
  <c r="C250" i="2"/>
  <c r="C242" i="2"/>
  <c r="C234" i="2"/>
  <c r="C226" i="2"/>
  <c r="C256" i="2"/>
  <c r="C248" i="2"/>
  <c r="C240" i="2"/>
  <c r="C232" i="2"/>
  <c r="C224" i="2"/>
  <c r="F3" i="3" l="1"/>
  <c r="D27" i="2"/>
  <c r="D29" i="2"/>
  <c r="D31" i="2"/>
  <c r="D33" i="2"/>
  <c r="D35" i="2"/>
  <c r="D37" i="2"/>
  <c r="D39" i="2"/>
  <c r="D41" i="2"/>
  <c r="D43" i="2"/>
  <c r="D45" i="2"/>
  <c r="D47" i="2"/>
  <c r="D49" i="2"/>
  <c r="D51" i="2"/>
  <c r="D53" i="2"/>
  <c r="D55" i="2"/>
  <c r="D26" i="2"/>
  <c r="D28" i="2"/>
  <c r="D30" i="2"/>
  <c r="D32" i="2"/>
  <c r="D34" i="2"/>
  <c r="D36" i="2"/>
  <c r="D38" i="2"/>
  <c r="D40" i="2"/>
  <c r="D42" i="2"/>
  <c r="D44" i="2"/>
  <c r="D46" i="2"/>
  <c r="D48" i="2"/>
  <c r="D50" i="2"/>
  <c r="D52" i="2"/>
  <c r="D54" i="2"/>
  <c r="D56" i="2"/>
  <c r="D58" i="2"/>
  <c r="D60" i="2"/>
  <c r="D62" i="2"/>
  <c r="D63" i="2"/>
  <c r="D64" i="2"/>
  <c r="D71" i="2"/>
  <c r="D72" i="2"/>
  <c r="D79" i="2"/>
  <c r="D80" i="2"/>
  <c r="D61" i="2"/>
  <c r="D65" i="2"/>
  <c r="D66" i="2"/>
  <c r="D73" i="2"/>
  <c r="D74" i="2"/>
  <c r="D81" i="2"/>
  <c r="D82" i="2"/>
  <c r="D84" i="2"/>
  <c r="D86" i="2"/>
  <c r="D59" i="2"/>
  <c r="D67" i="2"/>
  <c r="D68" i="2"/>
  <c r="D75" i="2"/>
  <c r="D76" i="2"/>
  <c r="D57" i="2"/>
  <c r="D69" i="2"/>
  <c r="D89" i="2"/>
  <c r="D93" i="2"/>
  <c r="D97" i="2"/>
  <c r="D101" i="2"/>
  <c r="D105" i="2"/>
  <c r="D109" i="2"/>
  <c r="D113" i="2"/>
  <c r="D78" i="2"/>
  <c r="D88" i="2"/>
  <c r="D92" i="2"/>
  <c r="D96" i="2"/>
  <c r="D100" i="2"/>
  <c r="D104" i="2"/>
  <c r="D108" i="2"/>
  <c r="D112" i="2"/>
  <c r="D118" i="2"/>
  <c r="D120" i="2"/>
  <c r="D70" i="2"/>
  <c r="D83" i="2"/>
  <c r="D85" i="2"/>
  <c r="D87" i="2"/>
  <c r="D91" i="2"/>
  <c r="D95" i="2"/>
  <c r="D99" i="2"/>
  <c r="D103" i="2"/>
  <c r="D107" i="2"/>
  <c r="D111" i="2"/>
  <c r="D115" i="2"/>
  <c r="D116" i="2"/>
  <c r="D122" i="2"/>
  <c r="D126" i="2"/>
  <c r="D130" i="2"/>
  <c r="D134" i="2"/>
  <c r="D138" i="2"/>
  <c r="D142" i="2"/>
  <c r="D146" i="2"/>
  <c r="D150" i="2"/>
  <c r="D154" i="2"/>
  <c r="D160" i="2"/>
  <c r="D161" i="2"/>
  <c r="D94" i="2"/>
  <c r="D102" i="2"/>
  <c r="D110" i="2"/>
  <c r="D117" i="2"/>
  <c r="D119" i="2"/>
  <c r="D121" i="2"/>
  <c r="D125" i="2"/>
  <c r="D129" i="2"/>
  <c r="D133" i="2"/>
  <c r="D137" i="2"/>
  <c r="D141" i="2"/>
  <c r="D145" i="2"/>
  <c r="D149" i="2"/>
  <c r="D153" i="2"/>
  <c r="D162" i="2"/>
  <c r="D163" i="2"/>
  <c r="D168" i="2"/>
  <c r="D170" i="2"/>
  <c r="D172" i="2"/>
  <c r="D174" i="2"/>
  <c r="D176" i="2"/>
  <c r="D178" i="2"/>
  <c r="D180" i="2"/>
  <c r="D182" i="2"/>
  <c r="D184" i="2"/>
  <c r="D186" i="2"/>
  <c r="D188" i="2"/>
  <c r="D124" i="2"/>
  <c r="D128" i="2"/>
  <c r="D132" i="2"/>
  <c r="D136" i="2"/>
  <c r="D140" i="2"/>
  <c r="D144" i="2"/>
  <c r="D148" i="2"/>
  <c r="D152" i="2"/>
  <c r="D156" i="2"/>
  <c r="D157" i="2"/>
  <c r="D164" i="2"/>
  <c r="D165" i="2"/>
  <c r="D90" i="2"/>
  <c r="D106" i="2"/>
  <c r="D131" i="2"/>
  <c r="D139" i="2"/>
  <c r="D147" i="2"/>
  <c r="D155" i="2"/>
  <c r="D159" i="2"/>
  <c r="D191" i="2"/>
  <c r="D195" i="2"/>
  <c r="D199" i="2"/>
  <c r="D203" i="2"/>
  <c r="D207" i="2"/>
  <c r="D211" i="2"/>
  <c r="D215" i="2"/>
  <c r="D219" i="2"/>
  <c r="D223" i="2"/>
  <c r="D230" i="2"/>
  <c r="D231" i="2"/>
  <c r="D238" i="2"/>
  <c r="D239" i="2"/>
  <c r="D246" i="2"/>
  <c r="D247" i="2"/>
  <c r="D254" i="2"/>
  <c r="D255" i="2"/>
  <c r="D262" i="2"/>
  <c r="D264" i="2"/>
  <c r="D266" i="2"/>
  <c r="D268" i="2"/>
  <c r="D270" i="2"/>
  <c r="D272" i="2"/>
  <c r="D274" i="2"/>
  <c r="D276" i="2"/>
  <c r="D278" i="2"/>
  <c r="D280" i="2"/>
  <c r="D282" i="2"/>
  <c r="D284" i="2"/>
  <c r="D286" i="2"/>
  <c r="D288" i="2"/>
  <c r="D290" i="2"/>
  <c r="D292" i="2"/>
  <c r="D294" i="2"/>
  <c r="D296" i="2"/>
  <c r="D298" i="2"/>
  <c r="D3" i="2"/>
  <c r="D5" i="2"/>
  <c r="D7" i="2"/>
  <c r="D77" i="2"/>
  <c r="D127" i="2"/>
  <c r="D166" i="2"/>
  <c r="D190" i="2"/>
  <c r="D194" i="2"/>
  <c r="D198" i="2"/>
  <c r="D202" i="2"/>
  <c r="D206" i="2"/>
  <c r="D210" i="2"/>
  <c r="D214" i="2"/>
  <c r="D218" i="2"/>
  <c r="D222" i="2"/>
  <c r="D224" i="2"/>
  <c r="D225" i="2"/>
  <c r="D232" i="2"/>
  <c r="D233" i="2"/>
  <c r="D240" i="2"/>
  <c r="D241" i="2"/>
  <c r="D248" i="2"/>
  <c r="D249" i="2"/>
  <c r="D256" i="2"/>
  <c r="D257" i="2"/>
  <c r="D167" i="2"/>
  <c r="D171" i="2"/>
  <c r="D175" i="2"/>
  <c r="D179" i="2"/>
  <c r="D183" i="2"/>
  <c r="D187" i="2"/>
  <c r="D196" i="2"/>
  <c r="D98" i="2"/>
  <c r="D114" i="2"/>
  <c r="D135" i="2"/>
  <c r="D143" i="2"/>
  <c r="D151" i="2"/>
  <c r="D158" i="2"/>
  <c r="D193" i="2"/>
  <c r="D197" i="2"/>
  <c r="D201" i="2"/>
  <c r="D205" i="2"/>
  <c r="D209" i="2"/>
  <c r="D213" i="2"/>
  <c r="D217" i="2"/>
  <c r="D221" i="2"/>
  <c r="D226" i="2"/>
  <c r="D227" i="2"/>
  <c r="D234" i="2"/>
  <c r="D235" i="2"/>
  <c r="D242" i="2"/>
  <c r="D243" i="2"/>
  <c r="D250" i="2"/>
  <c r="D251" i="2"/>
  <c r="D258" i="2"/>
  <c r="D259" i="2"/>
  <c r="D263" i="2"/>
  <c r="D265" i="2"/>
  <c r="D267" i="2"/>
  <c r="D269" i="2"/>
  <c r="D271" i="2"/>
  <c r="D273" i="2"/>
  <c r="D275" i="2"/>
  <c r="D277" i="2"/>
  <c r="D279" i="2"/>
  <c r="D281" i="2"/>
  <c r="D283" i="2"/>
  <c r="D285" i="2"/>
  <c r="D287" i="2"/>
  <c r="D289" i="2"/>
  <c r="D291" i="2"/>
  <c r="D293" i="2"/>
  <c r="D295" i="2"/>
  <c r="D297" i="2"/>
  <c r="D299" i="2"/>
  <c r="D4" i="2"/>
  <c r="D8" i="2"/>
  <c r="D12" i="2"/>
  <c r="D14" i="2"/>
  <c r="D16" i="2"/>
  <c r="D18" i="2"/>
  <c r="D20" i="2"/>
  <c r="D22" i="2"/>
  <c r="D24" i="2"/>
  <c r="D123" i="2"/>
  <c r="D169" i="2"/>
  <c r="D173" i="2"/>
  <c r="D177" i="2"/>
  <c r="D181" i="2"/>
  <c r="D185" i="2"/>
  <c r="D189" i="2"/>
  <c r="D192" i="2"/>
  <c r="D204" i="2"/>
  <c r="D212" i="2"/>
  <c r="D220" i="2"/>
  <c r="D229" i="2"/>
  <c r="D244" i="2"/>
  <c r="D261" i="2"/>
  <c r="D15" i="2"/>
  <c r="D23" i="2"/>
  <c r="D236" i="2"/>
  <c r="D253" i="2"/>
  <c r="D13" i="2"/>
  <c r="D21" i="2"/>
  <c r="D252" i="2"/>
  <c r="D17" i="2"/>
  <c r="D25" i="2"/>
  <c r="D200" i="2"/>
  <c r="D208" i="2"/>
  <c r="D216" i="2"/>
  <c r="D228" i="2"/>
  <c r="D245" i="2"/>
  <c r="D260" i="2"/>
  <c r="D9" i="2"/>
  <c r="D11" i="2"/>
  <c r="D19" i="2"/>
  <c r="D2" i="2"/>
  <c r="D237" i="2"/>
  <c r="G3" i="3" l="1"/>
  <c r="H3" i="3" l="1"/>
  <c r="E41" i="2"/>
  <c r="E73" i="2"/>
  <c r="E93" i="2"/>
  <c r="E60" i="2"/>
  <c r="E49" i="2"/>
  <c r="E81" i="2"/>
  <c r="E101" i="2"/>
  <c r="E28" i="2"/>
  <c r="E100" i="2"/>
  <c r="E129" i="2"/>
  <c r="E76" i="2"/>
  <c r="E144" i="2"/>
  <c r="E173" i="2"/>
  <c r="E205" i="2"/>
  <c r="E40" i="2"/>
  <c r="E62" i="2"/>
  <c r="E58" i="2"/>
  <c r="E116" i="2"/>
  <c r="E153" i="2"/>
  <c r="E152" i="2"/>
  <c r="E189" i="2"/>
  <c r="E170" i="2"/>
  <c r="E202" i="2"/>
  <c r="E234" i="2"/>
  <c r="E237" i="2"/>
  <c r="E276" i="2"/>
  <c r="E11" i="2"/>
  <c r="E259" i="2"/>
  <c r="E20" i="2"/>
  <c r="E299" i="2"/>
  <c r="E206" i="2"/>
  <c r="E288" i="2"/>
  <c r="E27" i="2"/>
  <c r="E59" i="2"/>
  <c r="E70" i="2"/>
  <c r="E111" i="2"/>
  <c r="E66" i="2"/>
  <c r="E110" i="2"/>
  <c r="E139" i="2"/>
  <c r="E122" i="2"/>
  <c r="E154" i="2"/>
  <c r="E183" i="2"/>
  <c r="E215" i="2"/>
  <c r="E188" i="2"/>
  <c r="E220" i="2"/>
  <c r="E252" i="2"/>
  <c r="E262" i="2"/>
  <c r="E294" i="2"/>
  <c r="E233" i="2"/>
  <c r="E263" i="2"/>
  <c r="E214" i="2"/>
  <c r="E280" i="2"/>
  <c r="E29" i="2"/>
  <c r="E61" i="2"/>
  <c r="E78" i="2"/>
  <c r="E113" i="2"/>
  <c r="E74" i="2"/>
  <c r="E112" i="2"/>
  <c r="E141" i="2"/>
  <c r="E124" i="2"/>
  <c r="E156" i="2"/>
  <c r="E185" i="2"/>
  <c r="E33" i="2"/>
  <c r="E85" i="2"/>
  <c r="E84" i="2"/>
  <c r="E121" i="2"/>
  <c r="E120" i="2"/>
  <c r="E160" i="2"/>
  <c r="E197" i="2"/>
  <c r="E178" i="2"/>
  <c r="E210" i="2"/>
  <c r="E242" i="2"/>
  <c r="E223" i="2"/>
  <c r="E284" i="2"/>
  <c r="E19" i="2"/>
  <c r="E293" i="2"/>
  <c r="E16" i="2"/>
  <c r="E267" i="2"/>
  <c r="E230" i="2"/>
  <c r="E15" i="2"/>
  <c r="E35" i="2"/>
  <c r="E67" i="2"/>
  <c r="E87" i="2"/>
  <c r="E34" i="2"/>
  <c r="E86" i="2"/>
  <c r="E54" i="2"/>
  <c r="E147" i="2"/>
  <c r="E130" i="2"/>
  <c r="E162" i="2"/>
  <c r="E191" i="2"/>
  <c r="E161" i="2"/>
  <c r="E196" i="2"/>
  <c r="E228" i="2"/>
  <c r="E260" i="2"/>
  <c r="E270" i="2"/>
  <c r="E5" i="2"/>
  <c r="E2" i="2"/>
  <c r="E295" i="2"/>
  <c r="E238" i="2"/>
  <c r="E7" i="2"/>
  <c r="E37" i="2"/>
  <c r="E69" i="2"/>
  <c r="E89" i="2"/>
  <c r="E42" i="2"/>
  <c r="E88" i="2"/>
  <c r="E117" i="2"/>
  <c r="E149" i="2"/>
  <c r="E132" i="2"/>
  <c r="E164" i="2"/>
  <c r="E193" i="2"/>
  <c r="E163" i="2"/>
  <c r="E198" i="2"/>
  <c r="E272" i="2"/>
  <c r="E55" i="2"/>
  <c r="E106" i="2"/>
  <c r="E179" i="2"/>
  <c r="E248" i="2"/>
  <c r="E22" i="2"/>
  <c r="E203" i="2"/>
  <c r="E12" i="2"/>
  <c r="E83" i="2"/>
  <c r="E143" i="2"/>
  <c r="E219" i="2"/>
  <c r="E266" i="2"/>
  <c r="E291" i="2"/>
  <c r="E91" i="2"/>
  <c r="E151" i="2"/>
  <c r="E168" i="2"/>
  <c r="E274" i="2"/>
  <c r="E265" i="2"/>
  <c r="E99" i="2"/>
  <c r="E46" i="2"/>
  <c r="E282" i="2"/>
  <c r="E109" i="2"/>
  <c r="E137" i="2"/>
  <c r="E159" i="2"/>
  <c r="E186" i="2"/>
  <c r="E250" i="2"/>
  <c r="E292" i="2"/>
  <c r="E251" i="2"/>
  <c r="E289" i="2"/>
  <c r="E23" i="2"/>
  <c r="E75" i="2"/>
  <c r="E64" i="2"/>
  <c r="E123" i="2"/>
  <c r="E138" i="2"/>
  <c r="E199" i="2"/>
  <c r="E204" i="2"/>
  <c r="E245" i="2"/>
  <c r="E13" i="2"/>
  <c r="E243" i="2"/>
  <c r="E241" i="2"/>
  <c r="E77" i="2"/>
  <c r="E72" i="2"/>
  <c r="E125" i="2"/>
  <c r="E140" i="2"/>
  <c r="E201" i="2"/>
  <c r="E182" i="2"/>
  <c r="E253" i="2"/>
  <c r="E56" i="2"/>
  <c r="E118" i="2"/>
  <c r="E216" i="2"/>
  <c r="E275" i="2"/>
  <c r="E261" i="2"/>
  <c r="E63" i="2"/>
  <c r="E126" i="2"/>
  <c r="E224" i="2"/>
  <c r="E279" i="2"/>
  <c r="E50" i="2"/>
  <c r="E166" i="2"/>
  <c r="E229" i="2"/>
  <c r="E235" i="2"/>
  <c r="E98" i="2"/>
  <c r="E240" i="2"/>
  <c r="E26" i="2"/>
  <c r="E145" i="2"/>
  <c r="E181" i="2"/>
  <c r="E194" i="2"/>
  <c r="E258" i="2"/>
  <c r="E3" i="2"/>
  <c r="E287" i="2"/>
  <c r="E24" i="2"/>
  <c r="E277" i="2"/>
  <c r="E32" i="2"/>
  <c r="E36" i="2"/>
  <c r="E131" i="2"/>
  <c r="E146" i="2"/>
  <c r="E207" i="2"/>
  <c r="E212" i="2"/>
  <c r="E231" i="2"/>
  <c r="E21" i="2"/>
  <c r="E18" i="2"/>
  <c r="E14" i="2"/>
  <c r="E48" i="2"/>
  <c r="E44" i="2"/>
  <c r="E133" i="2"/>
  <c r="E148" i="2"/>
  <c r="E209" i="2"/>
  <c r="E190" i="2"/>
  <c r="E296" i="2"/>
  <c r="E107" i="2"/>
  <c r="E150" i="2"/>
  <c r="E247" i="2"/>
  <c r="E297" i="2"/>
  <c r="E17" i="2"/>
  <c r="E115" i="2"/>
  <c r="E158" i="2"/>
  <c r="E256" i="2"/>
  <c r="E8" i="2"/>
  <c r="E90" i="2"/>
  <c r="E195" i="2"/>
  <c r="E9" i="2"/>
  <c r="E47" i="2"/>
  <c r="E127" i="2"/>
  <c r="E285" i="2"/>
  <c r="E57" i="2"/>
  <c r="E92" i="2"/>
  <c r="E128" i="2"/>
  <c r="E213" i="2"/>
  <c r="E218" i="2"/>
  <c r="E255" i="2"/>
  <c r="E225" i="2"/>
  <c r="E281" i="2"/>
  <c r="E254" i="2"/>
  <c r="E43" i="2"/>
  <c r="E95" i="2"/>
  <c r="E94" i="2"/>
  <c r="E155" i="2"/>
  <c r="E167" i="2"/>
  <c r="E172" i="2"/>
  <c r="E236" i="2"/>
  <c r="E278" i="2"/>
  <c r="E269" i="2"/>
  <c r="E157" i="2"/>
  <c r="E45" i="2"/>
  <c r="E97" i="2"/>
  <c r="E136" i="2"/>
  <c r="E257" i="2"/>
  <c r="E103" i="2"/>
  <c r="E180" i="2"/>
  <c r="E239" i="2"/>
  <c r="E104" i="2"/>
  <c r="E177" i="2"/>
  <c r="E246" i="2"/>
  <c r="E135" i="2"/>
  <c r="E25" i="2"/>
  <c r="E31" i="2"/>
  <c r="E192" i="2"/>
  <c r="E71" i="2"/>
  <c r="E232" i="2"/>
  <c r="E80" i="2"/>
  <c r="E51" i="2"/>
  <c r="E4" i="2"/>
  <c r="E169" i="2"/>
  <c r="E52" i="2"/>
  <c r="E283" i="2"/>
  <c r="E39" i="2"/>
  <c r="E79" i="2"/>
  <c r="E221" i="2"/>
  <c r="E10" i="2"/>
  <c r="E102" i="2"/>
  <c r="E244" i="2"/>
  <c r="E53" i="2"/>
  <c r="E38" i="2"/>
  <c r="E217" i="2"/>
  <c r="E165" i="2"/>
  <c r="E211" i="2"/>
  <c r="E142" i="2"/>
  <c r="E82" i="2"/>
  <c r="E298" i="2"/>
  <c r="E119" i="2"/>
  <c r="E227" i="2"/>
  <c r="E171" i="2"/>
  <c r="E65" i="2"/>
  <c r="E226" i="2"/>
  <c r="E264" i="2"/>
  <c r="E30" i="2"/>
  <c r="E286" i="2"/>
  <c r="E105" i="2"/>
  <c r="E68" i="2"/>
  <c r="E174" i="2"/>
  <c r="E271" i="2"/>
  <c r="E184" i="2"/>
  <c r="E208" i="2"/>
  <c r="E114" i="2"/>
  <c r="E249" i="2"/>
  <c r="E134" i="2"/>
  <c r="E6" i="2"/>
  <c r="E176" i="2"/>
  <c r="E108" i="2"/>
  <c r="E268" i="2"/>
  <c r="E175" i="2"/>
  <c r="E96" i="2"/>
  <c r="E222" i="2"/>
  <c r="E290" i="2"/>
  <c r="E187" i="2"/>
  <c r="E200" i="2"/>
  <c r="E273" i="2"/>
  <c r="G65" i="2"/>
  <c r="G286" i="2" l="1"/>
  <c r="G176" i="2"/>
  <c r="G165" i="2"/>
  <c r="G269" i="2"/>
  <c r="G131" i="2"/>
  <c r="G51" i="2"/>
  <c r="G224" i="2"/>
  <c r="G104" i="2"/>
  <c r="G44" i="2"/>
  <c r="G246" i="2"/>
  <c r="G118" i="2"/>
  <c r="G29" i="2"/>
  <c r="G128" i="2"/>
  <c r="G148" i="2"/>
  <c r="G212" i="2"/>
  <c r="G120" i="2"/>
  <c r="G230" i="2"/>
  <c r="G103" i="2"/>
  <c r="G161" i="2"/>
  <c r="G70" i="2"/>
  <c r="G171" i="2"/>
  <c r="G272" i="2"/>
  <c r="G11" i="2"/>
  <c r="G19" i="2"/>
  <c r="G261" i="2"/>
  <c r="G210" i="2"/>
  <c r="G274" i="2"/>
  <c r="G237" i="2"/>
  <c r="G85" i="2"/>
  <c r="G256" i="2"/>
  <c r="G200" i="2"/>
  <c r="G144" i="2"/>
  <c r="G22" i="2"/>
  <c r="G185" i="2"/>
  <c r="G248" i="2"/>
  <c r="G179" i="2"/>
  <c r="G135" i="2"/>
  <c r="G240" i="2"/>
  <c r="G36" i="2"/>
  <c r="G111" i="2"/>
  <c r="G13" i="2"/>
  <c r="G236" i="2"/>
  <c r="G218" i="2"/>
  <c r="G15" i="2"/>
  <c r="G243" i="2"/>
  <c r="G282" i="2"/>
  <c r="G138" i="2"/>
  <c r="G14" i="2"/>
  <c r="G31" i="2"/>
  <c r="G184" i="2"/>
  <c r="G204" i="2"/>
  <c r="G39" i="2"/>
  <c r="G132" i="2"/>
  <c r="G223" i="2"/>
  <c r="G293" i="2"/>
  <c r="G181" i="2"/>
  <c r="G170" i="2"/>
  <c r="G215" i="2"/>
  <c r="G95" i="2"/>
  <c r="G110" i="2"/>
  <c r="G8" i="2"/>
  <c r="G67" i="2"/>
  <c r="G60" i="2"/>
  <c r="G189" i="2"/>
  <c r="G288" i="2"/>
  <c r="G152" i="2"/>
  <c r="G219" i="2"/>
  <c r="G153" i="2"/>
  <c r="G125" i="2"/>
  <c r="G244" i="2"/>
  <c r="G205" i="2"/>
  <c r="G253" i="2"/>
  <c r="G267" i="2"/>
  <c r="G61" i="2"/>
  <c r="G84" i="2"/>
  <c r="G260" i="2"/>
  <c r="G214" i="2"/>
  <c r="G157" i="2"/>
  <c r="G297" i="2"/>
  <c r="G279" i="2"/>
  <c r="G249" i="2"/>
  <c r="G50" i="2"/>
  <c r="G145" i="2"/>
  <c r="G193" i="2"/>
  <c r="G2" i="2"/>
  <c r="G259" i="2"/>
  <c r="G38" i="2"/>
  <c r="G35" i="2"/>
  <c r="G123" i="2"/>
  <c r="G121" i="2"/>
  <c r="G142" i="2"/>
  <c r="G97" i="2"/>
  <c r="G32" i="2"/>
  <c r="G92" i="2"/>
  <c r="G64" i="2"/>
  <c r="G69" i="2"/>
  <c r="G139" i="2"/>
  <c r="G199" i="2"/>
  <c r="G40" i="2"/>
  <c r="G71" i="2"/>
  <c r="G192" i="2"/>
  <c r="G281" i="2"/>
  <c r="G23" i="2"/>
  <c r="G150" i="2"/>
  <c r="G122" i="2"/>
  <c r="G167" i="2"/>
  <c r="G26" i="2"/>
  <c r="G81" i="2"/>
  <c r="G255" i="2"/>
  <c r="G46" i="2"/>
  <c r="G76" i="2"/>
  <c r="G124" i="2"/>
  <c r="G202" i="2"/>
  <c r="G234" i="2"/>
  <c r="G3" i="2"/>
  <c r="G98" i="2"/>
  <c r="G245" i="2"/>
  <c r="G222" i="2"/>
  <c r="G227" i="2"/>
  <c r="G188" i="2"/>
  <c r="G290" i="2"/>
  <c r="G7" i="2"/>
  <c r="G108" i="2"/>
  <c r="G163" i="2"/>
  <c r="G258" i="2"/>
  <c r="G292" i="2"/>
  <c r="G107" i="2"/>
  <c r="G102" i="2"/>
  <c r="G117" i="2"/>
  <c r="G177" i="2"/>
  <c r="G283" i="2"/>
  <c r="G96" i="2"/>
  <c r="G137" i="2"/>
  <c r="G6" i="2"/>
  <c r="G295" i="2"/>
  <c r="G270" i="2"/>
  <c r="G203" i="2"/>
  <c r="G59" i="2"/>
  <c r="G151" i="2"/>
  <c r="G58" i="2"/>
  <c r="G207" i="2"/>
  <c r="G43" i="2"/>
  <c r="G116" i="2"/>
  <c r="G257" i="2"/>
  <c r="G80" i="2"/>
  <c r="G190" i="2"/>
  <c r="G172" i="2"/>
  <c r="G42" i="2"/>
  <c r="G154" i="2"/>
  <c r="G231" i="2"/>
  <c r="G66" i="2"/>
  <c r="G155" i="2"/>
  <c r="G16" i="2"/>
  <c r="G88" i="2"/>
  <c r="G94" i="2"/>
  <c r="G49" i="2"/>
  <c r="G169" i="2"/>
  <c r="G275" i="2"/>
  <c r="G75" i="2"/>
  <c r="G41" i="2"/>
  <c r="G287" i="2"/>
  <c r="G263" i="2"/>
  <c r="G264" i="2"/>
  <c r="G187" i="2"/>
  <c r="G114" i="2"/>
  <c r="G48" i="2"/>
  <c r="G87" i="2"/>
  <c r="G208" i="2"/>
  <c r="G289" i="2"/>
  <c r="G268" i="2"/>
  <c r="G127" i="2"/>
  <c r="G55" i="2"/>
  <c r="G149" i="2"/>
  <c r="G209" i="2"/>
  <c r="G18" i="2"/>
  <c r="G99" i="2"/>
  <c r="G198" i="2"/>
  <c r="G278" i="2"/>
  <c r="G53" i="2"/>
  <c r="G63" i="2"/>
  <c r="G242" i="2"/>
  <c r="G206" i="2"/>
  <c r="G211" i="2"/>
  <c r="G47" i="2"/>
  <c r="G265" i="2"/>
  <c r="G134" i="2"/>
  <c r="G133" i="2"/>
  <c r="G299" i="2"/>
  <c r="G164" i="2"/>
  <c r="G298" i="2"/>
  <c r="G235" i="2"/>
  <c r="G180" i="2"/>
  <c r="G93" i="2"/>
  <c r="G191" i="2"/>
  <c r="G113" i="2"/>
  <c r="G119" i="2"/>
  <c r="G159" i="2"/>
  <c r="G56" i="2"/>
  <c r="G216" i="2"/>
  <c r="G262" i="2"/>
  <c r="G79" i="2"/>
  <c r="G217" i="2"/>
  <c r="G115" i="2"/>
  <c r="G284" i="2"/>
  <c r="G109" i="2"/>
  <c r="G173" i="2"/>
  <c r="G276" i="2"/>
  <c r="G147" i="2"/>
  <c r="G294" i="2"/>
  <c r="G86" i="2"/>
  <c r="G158" i="2"/>
  <c r="G78" i="2"/>
  <c r="G271" i="2"/>
  <c r="G74" i="2"/>
  <c r="G168" i="2"/>
  <c r="G226" i="2"/>
  <c r="G100" i="2"/>
  <c r="G175" i="2"/>
  <c r="G17" i="2"/>
  <c r="G91" i="2"/>
  <c r="G77" i="2"/>
  <c r="G141" i="2"/>
  <c r="G201" i="2"/>
  <c r="G10" i="2"/>
  <c r="G83" i="2"/>
  <c r="G182" i="2"/>
  <c r="G266" i="2"/>
  <c r="G21" i="2"/>
  <c r="G106" i="2"/>
  <c r="G251" i="2"/>
  <c r="G174" i="2"/>
  <c r="G34" i="2"/>
  <c r="G130" i="2"/>
  <c r="G183" i="2"/>
  <c r="G24" i="2"/>
  <c r="G54" i="2"/>
  <c r="G52" i="2"/>
  <c r="G105" i="2"/>
  <c r="G178" i="2"/>
  <c r="G241" i="2"/>
  <c r="G25" i="2"/>
  <c r="G33" i="2"/>
  <c r="G197" i="2"/>
  <c r="G129" i="2"/>
  <c r="G196" i="2"/>
  <c r="G143" i="2"/>
  <c r="G12" i="2"/>
  <c r="G250" i="2"/>
  <c r="G20" i="2"/>
  <c r="G146" i="2"/>
  <c r="G280" i="2"/>
  <c r="G68" i="2"/>
  <c r="G194" i="2"/>
  <c r="G9" i="2"/>
  <c r="G229" i="2"/>
  <c r="G195" i="2"/>
  <c r="G296" i="2"/>
  <c r="G228" i="2"/>
  <c r="G232" i="2"/>
  <c r="G254" i="2"/>
  <c r="G186" i="2"/>
  <c r="G213" i="2"/>
  <c r="G238" i="2"/>
  <c r="G57" i="2"/>
  <c r="G239" i="2"/>
  <c r="G45" i="2"/>
  <c r="G140" i="2"/>
  <c r="G252" i="2"/>
  <c r="G101" i="2"/>
  <c r="G221" i="2"/>
  <c r="G220" i="2"/>
  <c r="G90" i="2"/>
  <c r="G72" i="2"/>
  <c r="G73" i="2"/>
  <c r="G30" i="2"/>
  <c r="G89" i="2"/>
  <c r="G225" i="2"/>
  <c r="G126" i="2"/>
  <c r="G5" i="2"/>
  <c r="G136" i="2"/>
  <c r="G277" i="2"/>
  <c r="G285" i="2"/>
  <c r="G82" i="2"/>
  <c r="G27" i="2"/>
  <c r="G112" i="2"/>
  <c r="G160" i="2"/>
  <c r="G62" i="2"/>
  <c r="G166" i="2"/>
  <c r="G37" i="2"/>
  <c r="G162" i="2"/>
  <c r="G156" i="2"/>
  <c r="G273" i="2"/>
  <c r="F64" i="2"/>
  <c r="F167" i="2"/>
  <c r="F297" i="2"/>
  <c r="F264" i="2"/>
  <c r="F292" i="2"/>
  <c r="F65" i="2"/>
  <c r="F169" i="2"/>
  <c r="F299" i="2"/>
  <c r="F266" i="2"/>
  <c r="F245" i="2"/>
  <c r="F53" i="2"/>
  <c r="F157" i="2"/>
  <c r="F260" i="2"/>
  <c r="F3" i="2"/>
  <c r="F216" i="2"/>
  <c r="F286" i="2"/>
  <c r="F181" i="2"/>
  <c r="F146" i="2"/>
  <c r="F32" i="2"/>
  <c r="F97" i="2"/>
  <c r="F153" i="2"/>
  <c r="F199" i="2"/>
  <c r="F7" i="2"/>
  <c r="F34" i="2"/>
  <c r="F101" i="2"/>
  <c r="F161" i="2"/>
  <c r="F203" i="2"/>
  <c r="F9" i="2"/>
  <c r="F284" i="2"/>
  <c r="F72" i="2"/>
  <c r="F171" i="2"/>
  <c r="F4" i="2"/>
  <c r="F263" i="2"/>
  <c r="F218" i="2"/>
  <c r="F200" i="2"/>
  <c r="F211" i="2"/>
  <c r="F21" i="2"/>
  <c r="F63" i="2"/>
  <c r="F281" i="2"/>
  <c r="F250" i="2"/>
  <c r="F138" i="2"/>
  <c r="F239" i="2"/>
  <c r="F37" i="2"/>
  <c r="F228" i="2"/>
  <c r="F173" i="2"/>
  <c r="F131" i="2"/>
  <c r="F48" i="2"/>
  <c r="F152" i="2"/>
  <c r="F23" i="2"/>
  <c r="F88" i="2"/>
  <c r="F238" i="2"/>
  <c r="F217" i="2"/>
  <c r="F187" i="2"/>
  <c r="F30" i="2"/>
  <c r="F202" i="2"/>
  <c r="F110" i="2"/>
  <c r="F132" i="2"/>
  <c r="F243" i="2"/>
  <c r="F105" i="2"/>
  <c r="F94" i="2"/>
  <c r="F49" i="2"/>
  <c r="F8" i="2"/>
  <c r="F194" i="2"/>
  <c r="F136" i="2"/>
  <c r="F62" i="2"/>
  <c r="F183" i="2"/>
  <c r="F86" i="2"/>
  <c r="F198" i="2"/>
  <c r="F14" i="2"/>
  <c r="F287" i="2"/>
  <c r="F285" i="2"/>
  <c r="F102" i="2"/>
  <c r="F178" i="2"/>
  <c r="F288" i="2"/>
  <c r="F130" i="2"/>
  <c r="F114" i="2"/>
  <c r="F137" i="2"/>
  <c r="F186" i="2"/>
  <c r="F296" i="2"/>
  <c r="F26" i="2"/>
  <c r="F74" i="2"/>
  <c r="F141" i="2"/>
  <c r="F188" i="2"/>
  <c r="F298" i="2"/>
  <c r="F268" i="2"/>
  <c r="F85" i="2"/>
  <c r="F159" i="2"/>
  <c r="F293" i="2"/>
  <c r="F54" i="2"/>
  <c r="F2" i="2"/>
  <c r="F160" i="2"/>
  <c r="F168" i="2"/>
  <c r="F247" i="2"/>
  <c r="F33" i="2"/>
  <c r="F75" i="2"/>
  <c r="F220" i="2"/>
  <c r="F120" i="2"/>
  <c r="F242" i="2"/>
  <c r="F35" i="2"/>
  <c r="F123" i="2"/>
  <c r="F227" i="2"/>
  <c r="F163" i="2"/>
  <c r="F257" i="2"/>
  <c r="F28" i="2"/>
  <c r="F89" i="2"/>
  <c r="F145" i="2"/>
  <c r="F191" i="2"/>
  <c r="F68" i="2"/>
  <c r="F241" i="2"/>
  <c r="F38" i="2"/>
  <c r="F13" i="2"/>
  <c r="F133" i="2"/>
  <c r="F113" i="2"/>
  <c r="F215" i="2"/>
  <c r="F42" i="2"/>
  <c r="F118" i="2"/>
  <c r="F17" i="2"/>
  <c r="F67" i="2"/>
  <c r="F164" i="2"/>
  <c r="F270" i="2"/>
  <c r="F111" i="2"/>
  <c r="F79" i="2"/>
  <c r="F289" i="2"/>
  <c r="F256" i="2"/>
  <c r="F154" i="2"/>
  <c r="F255" i="2"/>
  <c r="F45" i="2"/>
  <c r="F244" i="2"/>
  <c r="F149" i="2"/>
  <c r="F126" i="2"/>
  <c r="F41" i="2"/>
  <c r="F234" i="2"/>
  <c r="F140" i="2"/>
  <c r="F162" i="2"/>
  <c r="F39" i="2"/>
  <c r="F151" i="2"/>
  <c r="F51" i="2"/>
  <c r="F10" i="2"/>
  <c r="F261" i="2"/>
  <c r="F233" i="2"/>
  <c r="F170" i="2"/>
  <c r="F185" i="2"/>
  <c r="F77" i="2"/>
  <c r="F6" i="2"/>
  <c r="F98" i="2"/>
  <c r="F279" i="2"/>
  <c r="F224" i="2"/>
  <c r="F125" i="2"/>
  <c r="F142" i="2"/>
  <c r="F56" i="2"/>
  <c r="F100" i="2"/>
  <c r="F204" i="2"/>
  <c r="F253" i="2"/>
  <c r="F201" i="2"/>
  <c r="F27" i="2"/>
  <c r="F104" i="2"/>
  <c r="F208" i="2"/>
  <c r="F254" i="2"/>
  <c r="F209" i="2"/>
  <c r="F197" i="2"/>
  <c r="F106" i="2"/>
  <c r="F129" i="2"/>
  <c r="F182" i="2"/>
  <c r="F31" i="2"/>
  <c r="F225" i="2"/>
  <c r="F193" i="2"/>
  <c r="F278" i="2"/>
  <c r="F158" i="2"/>
  <c r="F69" i="2"/>
  <c r="F107" i="2"/>
  <c r="F273" i="2"/>
  <c r="F222" i="2"/>
  <c r="F258" i="2"/>
  <c r="F76" i="2"/>
  <c r="F115" i="2"/>
  <c r="F275" i="2"/>
  <c r="F223" i="2"/>
  <c r="F12" i="2"/>
  <c r="F29" i="2"/>
  <c r="F108" i="2"/>
  <c r="F212" i="2"/>
  <c r="F214" i="2"/>
  <c r="F99" i="2"/>
  <c r="F251" i="2"/>
  <c r="F109" i="2"/>
  <c r="F47" i="2"/>
  <c r="F205" i="2"/>
  <c r="F134" i="2"/>
  <c r="F232" i="2"/>
  <c r="F70" i="2"/>
  <c r="F283" i="2"/>
  <c r="F18" i="2"/>
  <c r="F127" i="2"/>
  <c r="F240" i="2"/>
  <c r="F176" i="2"/>
  <c r="F78" i="2"/>
  <c r="F66" i="2"/>
  <c r="F237" i="2"/>
  <c r="F50" i="2"/>
  <c r="F192" i="2"/>
  <c r="F25" i="2"/>
  <c r="F90" i="2"/>
  <c r="F174" i="2"/>
  <c r="F5" i="2"/>
  <c r="F231" i="2"/>
  <c r="F135" i="2"/>
  <c r="F43" i="2"/>
  <c r="F249" i="2"/>
  <c r="F229" i="2"/>
  <c r="F24" i="2"/>
  <c r="F252" i="2"/>
  <c r="F155" i="2"/>
  <c r="F44" i="2"/>
  <c r="F93" i="2"/>
  <c r="F246" i="2"/>
  <c r="F280" i="2"/>
  <c r="F172" i="2"/>
  <c r="F122" i="2"/>
  <c r="F60" i="2"/>
  <c r="F226" i="2"/>
  <c r="F180" i="2"/>
  <c r="F20" i="2"/>
  <c r="F71" i="2"/>
  <c r="F96" i="2"/>
  <c r="F206" i="2"/>
  <c r="F267" i="2"/>
  <c r="F92" i="2"/>
  <c r="F189" i="2"/>
  <c r="F80" i="2"/>
  <c r="F19" i="2"/>
  <c r="F274" i="2"/>
  <c r="F269" i="2"/>
  <c r="F87" i="2"/>
  <c r="F15" i="2"/>
  <c r="F179" i="2"/>
  <c r="F150" i="2"/>
  <c r="F207" i="2"/>
  <c r="F58" i="2"/>
  <c r="F73" i="2"/>
  <c r="F119" i="2"/>
  <c r="F282" i="2"/>
  <c r="F121" i="2"/>
  <c r="F57" i="2"/>
  <c r="F213" i="2"/>
  <c r="F210" i="2"/>
  <c r="F196" i="2"/>
  <c r="F82" i="2"/>
  <c r="F175" i="2"/>
  <c r="F81" i="2"/>
  <c r="F95" i="2"/>
  <c r="F128" i="2"/>
  <c r="F144" i="2"/>
  <c r="F117" i="2"/>
  <c r="F262" i="2"/>
  <c r="F248" i="2"/>
  <c r="F143" i="2"/>
  <c r="F236" i="2"/>
  <c r="F295" i="2"/>
  <c r="F147" i="2"/>
  <c r="F277" i="2"/>
  <c r="F230" i="2"/>
  <c r="F165" i="2"/>
  <c r="F59" i="2"/>
  <c r="F221" i="2"/>
  <c r="F148" i="2"/>
  <c r="F46" i="2"/>
  <c r="F116" i="2"/>
  <c r="F177" i="2"/>
  <c r="F61" i="2"/>
  <c r="F271" i="2"/>
  <c r="F40" i="2"/>
  <c r="F219" i="2"/>
  <c r="F184" i="2"/>
  <c r="F83" i="2"/>
  <c r="F276" i="2"/>
  <c r="F139" i="2"/>
  <c r="F190" i="2"/>
  <c r="F84" i="2"/>
  <c r="F235" i="2"/>
  <c r="F195" i="2"/>
  <c r="F265" i="2"/>
  <c r="F166" i="2"/>
  <c r="F52" i="2"/>
  <c r="F112" i="2"/>
  <c r="F294" i="2"/>
  <c r="F272" i="2"/>
  <c r="F124" i="2"/>
  <c r="F91" i="2"/>
  <c r="F22" i="2"/>
  <c r="F103" i="2"/>
  <c r="F11" i="2"/>
  <c r="F55" i="2"/>
  <c r="F291" i="2"/>
  <c r="F156" i="2"/>
  <c r="F36" i="2"/>
  <c r="F259" i="2"/>
  <c r="F16" i="2"/>
  <c r="F290" i="2"/>
  <c r="G291" i="2"/>
  <c r="G4" i="2"/>
  <c r="G247" i="2"/>
  <c r="G28" i="2"/>
  <c r="G233" i="2"/>
</calcChain>
</file>

<file path=xl/sharedStrings.xml><?xml version="1.0" encoding="utf-8"?>
<sst xmlns="http://schemas.openxmlformats.org/spreadsheetml/2006/main" count="1302" uniqueCount="380">
  <si>
    <t>Disciplina</t>
  </si>
  <si>
    <t>Nível / Categoria</t>
  </si>
  <si>
    <t>Subcategoria</t>
  </si>
  <si>
    <t>Conteúdo / Tópico</t>
  </si>
  <si>
    <t>Status</t>
  </si>
  <si>
    <t>Matemática</t>
  </si>
  <si>
    <t>Nível 1 - Fundamentos</t>
  </si>
  <si>
    <t>Sistema de numeração</t>
  </si>
  <si>
    <t>Não Iniciado</t>
  </si>
  <si>
    <t>Operações básicas</t>
  </si>
  <si>
    <t>Potenciação</t>
  </si>
  <si>
    <t>Radiciação</t>
  </si>
  <si>
    <t>MMC e MDC</t>
  </si>
  <si>
    <t>Divisibilidade</t>
  </si>
  <si>
    <t>Frações</t>
  </si>
  <si>
    <t>Números decimais</t>
  </si>
  <si>
    <t>Razões e proporções</t>
  </si>
  <si>
    <t>Regra de três simples</t>
  </si>
  <si>
    <t>Regra de três composta</t>
  </si>
  <si>
    <t>Porcentagem</t>
  </si>
  <si>
    <t>Juros simples</t>
  </si>
  <si>
    <t>Juros compostos</t>
  </si>
  <si>
    <t>Notação científica</t>
  </si>
  <si>
    <t>Ordem de grandeza</t>
  </si>
  <si>
    <t>Conversão de unidades</t>
  </si>
  <si>
    <t>Nível 2 - Álgebra</t>
  </si>
  <si>
    <t>Expressões Algébricas</t>
  </si>
  <si>
    <t>Produtos notáveis</t>
  </si>
  <si>
    <t>Fatoração</t>
  </si>
  <si>
    <t>Frações algébricas</t>
  </si>
  <si>
    <t>Equações do 1º grau</t>
  </si>
  <si>
    <t>Sistemas lineares</t>
  </si>
  <si>
    <t>Inequações</t>
  </si>
  <si>
    <t>Valor absoluto (módulo)</t>
  </si>
  <si>
    <t>Funções</t>
  </si>
  <si>
    <t>Conceito de função</t>
  </si>
  <si>
    <t>Domínio e imagem</t>
  </si>
  <si>
    <t>Função afim</t>
  </si>
  <si>
    <t>Função quadrática</t>
  </si>
  <si>
    <t>Função modular</t>
  </si>
  <si>
    <t>Função exponencial</t>
  </si>
  <si>
    <t>Função logarítmica</t>
  </si>
  <si>
    <t>Função composta</t>
  </si>
  <si>
    <t>Função inversa</t>
  </si>
  <si>
    <t>Nível 3 - Geometria</t>
  </si>
  <si>
    <t>Geometria Plana</t>
  </si>
  <si>
    <t>Ângulos</t>
  </si>
  <si>
    <t>Triângulos</t>
  </si>
  <si>
    <t>Quadriláteros</t>
  </si>
  <si>
    <t>Polígonos</t>
  </si>
  <si>
    <t>Circunferência</t>
  </si>
  <si>
    <t>Círculo</t>
  </si>
  <si>
    <t>Áreas</t>
  </si>
  <si>
    <t>Perímetros</t>
  </si>
  <si>
    <t>Semelhança</t>
  </si>
  <si>
    <t>Congruência</t>
  </si>
  <si>
    <t>Teorema de Tales</t>
  </si>
  <si>
    <t>Teorema de Pitágoras</t>
  </si>
  <si>
    <t>Trigonometria</t>
  </si>
  <si>
    <t>Razões trigonométricas</t>
  </si>
  <si>
    <t>Ciclo trigonométrico</t>
  </si>
  <si>
    <t>Identidades trigonométricas</t>
  </si>
  <si>
    <t>Lei dos Senos</t>
  </si>
  <si>
    <t>Lei dos Cossenos</t>
  </si>
  <si>
    <t>Geometria Espacial</t>
  </si>
  <si>
    <t>Prismas</t>
  </si>
  <si>
    <t>Pirâmides</t>
  </si>
  <si>
    <t>Cilindros</t>
  </si>
  <si>
    <t>Cones</t>
  </si>
  <si>
    <t>Esferas</t>
  </si>
  <si>
    <t>Volumes</t>
  </si>
  <si>
    <t>Geometria Analítica</t>
  </si>
  <si>
    <t>Plano cartesiano</t>
  </si>
  <si>
    <t>Distância entre pontos</t>
  </si>
  <si>
    <t>Ponto médio</t>
  </si>
  <si>
    <t>Equação da reta</t>
  </si>
  <si>
    <t>Inclinação</t>
  </si>
  <si>
    <t>Paralelismo</t>
  </si>
  <si>
    <t>Perpendicularidade</t>
  </si>
  <si>
    <t>Nível 4 - Estatística e Probabilidade</t>
  </si>
  <si>
    <t>Média</t>
  </si>
  <si>
    <t>Moda</t>
  </si>
  <si>
    <t>Mediana</t>
  </si>
  <si>
    <t>Desvio padrão</t>
  </si>
  <si>
    <t>Análise de gráficos</t>
  </si>
  <si>
    <t>Tabelas</t>
  </si>
  <si>
    <t>Probabilidade simples</t>
  </si>
  <si>
    <t>Probabilidade condicional</t>
  </si>
  <si>
    <t>Análise combinatória</t>
  </si>
  <si>
    <t>Permutações</t>
  </si>
  <si>
    <t>Arranjos</t>
  </si>
  <si>
    <t>Combinações</t>
  </si>
  <si>
    <t>Nível 5 - Matemática Avançada</t>
  </si>
  <si>
    <t>Matrizes</t>
  </si>
  <si>
    <t>Determinantes</t>
  </si>
  <si>
    <t>Sistemas lineares (Gauss)</t>
  </si>
  <si>
    <t>Sequências</t>
  </si>
  <si>
    <t>Progressão Aritmética (PA)</t>
  </si>
  <si>
    <t>Progressão Geométrica (PG)</t>
  </si>
  <si>
    <t>Números complexos</t>
  </si>
  <si>
    <t>Polinômios</t>
  </si>
  <si>
    <t>Equações polinomiais</t>
  </si>
  <si>
    <t>Nível 6 - Cálculo Diferencial e Integral</t>
  </si>
  <si>
    <t>Limites</t>
  </si>
  <si>
    <t>Continuidade</t>
  </si>
  <si>
    <t>Derivadas</t>
  </si>
  <si>
    <t>Regras de derivação</t>
  </si>
  <si>
    <t>Aplicações da derivada</t>
  </si>
  <si>
    <t>Máximos e mínimos</t>
  </si>
  <si>
    <t>Taxas de variação</t>
  </si>
  <si>
    <t>Integrais definidas</t>
  </si>
  <si>
    <t>Integrais indefinidas</t>
  </si>
  <si>
    <t>Área sob curvas</t>
  </si>
  <si>
    <t>Teorema Fundamental do Cálculo</t>
  </si>
  <si>
    <t>Introdução às Equações Diferenciais</t>
  </si>
  <si>
    <t>Física</t>
  </si>
  <si>
    <t>Mecânica</t>
  </si>
  <si>
    <t>Cinemática</t>
  </si>
  <si>
    <t>Dinâmica</t>
  </si>
  <si>
    <t>Leis de Newton</t>
  </si>
  <si>
    <t>Trabalho</t>
  </si>
  <si>
    <t>Energia</t>
  </si>
  <si>
    <t>Potência</t>
  </si>
  <si>
    <t>Impulso</t>
  </si>
  <si>
    <t>Quantidade de movimento</t>
  </si>
  <si>
    <t>Colisões</t>
  </si>
  <si>
    <t>Gravitação</t>
  </si>
  <si>
    <t>Hidrostática</t>
  </si>
  <si>
    <t>Hidrodinâmica</t>
  </si>
  <si>
    <t>Termologia</t>
  </si>
  <si>
    <t>Temperatura</t>
  </si>
  <si>
    <t>Dilatação térmica</t>
  </si>
  <si>
    <t>Calorimetria</t>
  </si>
  <si>
    <t>Mudanças de estado</t>
  </si>
  <si>
    <t>Gases</t>
  </si>
  <si>
    <t>Termodinâmica</t>
  </si>
  <si>
    <t>Ondulatória</t>
  </si>
  <si>
    <t>Ondas</t>
  </si>
  <si>
    <t>Som</t>
  </si>
  <si>
    <t>Interferência</t>
  </si>
  <si>
    <t>Difração</t>
  </si>
  <si>
    <t>Ressonância</t>
  </si>
  <si>
    <t>Óptica</t>
  </si>
  <si>
    <t>Reflexão</t>
  </si>
  <si>
    <t>Refração</t>
  </si>
  <si>
    <t>Espelhos</t>
  </si>
  <si>
    <t>Lentes</t>
  </si>
  <si>
    <t>Instrumentos ópticos</t>
  </si>
  <si>
    <t>Eletricidade</t>
  </si>
  <si>
    <t>Eletrostática</t>
  </si>
  <si>
    <t>Campo elétrico</t>
  </si>
  <si>
    <t>Potencial elétrico</t>
  </si>
  <si>
    <t>Corrente elétrica</t>
  </si>
  <si>
    <t>Resistores</t>
  </si>
  <si>
    <t>Associação de resistores</t>
  </si>
  <si>
    <t>Leis de Ohm</t>
  </si>
  <si>
    <t>Potência elétrica</t>
  </si>
  <si>
    <t>Circuitos elétricos</t>
  </si>
  <si>
    <t>Magnetismo</t>
  </si>
  <si>
    <t>Indução eletromagnética</t>
  </si>
  <si>
    <t>Física Moderna</t>
  </si>
  <si>
    <t>Radioatividade</t>
  </si>
  <si>
    <t>Fissão nuclear</t>
  </si>
  <si>
    <t>Fusão nuclear</t>
  </si>
  <si>
    <t>Modelo atômico</t>
  </si>
  <si>
    <t>Relatividade (noções)</t>
  </si>
  <si>
    <t>Física quântica (noções)</t>
  </si>
  <si>
    <t>Química</t>
  </si>
  <si>
    <t>Química Geral</t>
  </si>
  <si>
    <t>Estrutura atômica</t>
  </si>
  <si>
    <t>Tabela periódica</t>
  </si>
  <si>
    <t>Ligações químicas</t>
  </si>
  <si>
    <t>Geometria molecular</t>
  </si>
  <si>
    <t>Polaridade</t>
  </si>
  <si>
    <t>Forças intermoleculares</t>
  </si>
  <si>
    <t>Físico-Química</t>
  </si>
  <si>
    <t>Soluções</t>
  </si>
  <si>
    <t>Concentração</t>
  </si>
  <si>
    <t>Diluição</t>
  </si>
  <si>
    <t>Termoquímica</t>
  </si>
  <si>
    <t>Cinética química</t>
  </si>
  <si>
    <t>Equilíbrio químico</t>
  </si>
  <si>
    <t>Ácidos e bases</t>
  </si>
  <si>
    <t>pH</t>
  </si>
  <si>
    <t>Oxidação e redução</t>
  </si>
  <si>
    <t>Eletroquímica</t>
  </si>
  <si>
    <t>Química Orgânica</t>
  </si>
  <si>
    <t>Cadeias carbônicas</t>
  </si>
  <si>
    <t>Funções orgânicas</t>
  </si>
  <si>
    <t>Isomeria</t>
  </si>
  <si>
    <t>Reações orgânicas</t>
  </si>
  <si>
    <t>Polímeros</t>
  </si>
  <si>
    <t>Química Ambiental</t>
  </si>
  <si>
    <t>Poluição</t>
  </si>
  <si>
    <t>Tratamento da água</t>
  </si>
  <si>
    <t>Ciclos biogeoquímicos</t>
  </si>
  <si>
    <t>Sustentabilidade</t>
  </si>
  <si>
    <t>Biologia</t>
  </si>
  <si>
    <t>Citologia</t>
  </si>
  <si>
    <t>Células</t>
  </si>
  <si>
    <t>Organelas</t>
  </si>
  <si>
    <t>Membrana plasmática</t>
  </si>
  <si>
    <t>Transporte celular</t>
  </si>
  <si>
    <t>Bioquímica</t>
  </si>
  <si>
    <t>Água</t>
  </si>
  <si>
    <t>Sais minerais</t>
  </si>
  <si>
    <t>Carboidratos</t>
  </si>
  <si>
    <t>Lipídios</t>
  </si>
  <si>
    <t>Proteínas</t>
  </si>
  <si>
    <t>Vitaminas</t>
  </si>
  <si>
    <t>Enzimas</t>
  </si>
  <si>
    <t>Genética</t>
  </si>
  <si>
    <t>Leis de Mendel</t>
  </si>
  <si>
    <t>DNA</t>
  </si>
  <si>
    <t>RNA</t>
  </si>
  <si>
    <t>Biotecnologia</t>
  </si>
  <si>
    <t>Engenharia genética</t>
  </si>
  <si>
    <t>Evolução</t>
  </si>
  <si>
    <t>Darwin</t>
  </si>
  <si>
    <t>Lamarck</t>
  </si>
  <si>
    <t>Seleção natural</t>
  </si>
  <si>
    <t>Especiação</t>
  </si>
  <si>
    <t>Ecologia</t>
  </si>
  <si>
    <t>Cadeias alimentares</t>
  </si>
  <si>
    <t>Biomas</t>
  </si>
  <si>
    <t>Relações ecológicas</t>
  </si>
  <si>
    <t>Impactos ambientais</t>
  </si>
  <si>
    <t>Fisiologia Humana</t>
  </si>
  <si>
    <t>Sistema digestório</t>
  </si>
  <si>
    <t>Sistema respiratório</t>
  </si>
  <si>
    <t>Sistema circulatório</t>
  </si>
  <si>
    <t>Sistema nervoso</t>
  </si>
  <si>
    <t>Sistema endócrino</t>
  </si>
  <si>
    <t>Sistema excretor</t>
  </si>
  <si>
    <t>Sistema reprodutor</t>
  </si>
  <si>
    <t>Imunologia</t>
  </si>
  <si>
    <t>Botânica</t>
  </si>
  <si>
    <t>Tecidos vegetais</t>
  </si>
  <si>
    <t>Fotossíntese</t>
  </si>
  <si>
    <t>Hormônios vegetais</t>
  </si>
  <si>
    <t>Zoologia</t>
  </si>
  <si>
    <t>Invertebrados</t>
  </si>
  <si>
    <t>Vertebrados</t>
  </si>
  <si>
    <t>Português</t>
  </si>
  <si>
    <t>Gramática</t>
  </si>
  <si>
    <t>Classes gramaticais</t>
  </si>
  <si>
    <t>Sintaxe</t>
  </si>
  <si>
    <t>Concordância</t>
  </si>
  <si>
    <t>Regência</t>
  </si>
  <si>
    <t>Crase</t>
  </si>
  <si>
    <t>Colocação pronominal</t>
  </si>
  <si>
    <t>Pontuação</t>
  </si>
  <si>
    <t>Interpretação</t>
  </si>
  <si>
    <t>Tipos textuais</t>
  </si>
  <si>
    <t>Gêneros textuais</t>
  </si>
  <si>
    <t>Coesão</t>
  </si>
  <si>
    <t>Coerência</t>
  </si>
  <si>
    <t>Figuras de linguagem</t>
  </si>
  <si>
    <t>Funções da linguagem</t>
  </si>
  <si>
    <t>Literatura</t>
  </si>
  <si>
    <t>Trovadorismo</t>
  </si>
  <si>
    <t>Humanismo</t>
  </si>
  <si>
    <t>Classicismo</t>
  </si>
  <si>
    <t>Barroco</t>
  </si>
  <si>
    <t>Arcadismo</t>
  </si>
  <si>
    <t>Romantismo</t>
  </si>
  <si>
    <t>Realismo</t>
  </si>
  <si>
    <t>Naturalismo</t>
  </si>
  <si>
    <t>Parnasianismo</t>
  </si>
  <si>
    <t>Simbolismo</t>
  </si>
  <si>
    <t>Pré-modernismo</t>
  </si>
  <si>
    <t>Modernismo</t>
  </si>
  <si>
    <t>Literatura contemporânea</t>
  </si>
  <si>
    <t>Redação</t>
  </si>
  <si>
    <t>Estrutura dissertativa-argumentativa</t>
  </si>
  <si>
    <t>Competência 1</t>
  </si>
  <si>
    <t>Competência 2</t>
  </si>
  <si>
    <t>Competência 3</t>
  </si>
  <si>
    <t>Competência 4</t>
  </si>
  <si>
    <t>Competência 5</t>
  </si>
  <si>
    <t>Projeto de texto</t>
  </si>
  <si>
    <t>Repertório sociocultural</t>
  </si>
  <si>
    <t>Argumentação</t>
  </si>
  <si>
    <t>Proposta de intervenção</t>
  </si>
  <si>
    <t>Conectivos</t>
  </si>
  <si>
    <t>Planejamento</t>
  </si>
  <si>
    <t>Revisão</t>
  </si>
  <si>
    <t>História</t>
  </si>
  <si>
    <t>História Geral</t>
  </si>
  <si>
    <t>Antiguidade</t>
  </si>
  <si>
    <t>Idade Média</t>
  </si>
  <si>
    <t>Idade Moderna</t>
  </si>
  <si>
    <t>Idade Contemporânea</t>
  </si>
  <si>
    <t>Revoluções</t>
  </si>
  <si>
    <t>Guerras Mundiais</t>
  </si>
  <si>
    <t>Guerra Fria</t>
  </si>
  <si>
    <t>História do Brasil</t>
  </si>
  <si>
    <t>Brasil Colônia</t>
  </si>
  <si>
    <t>Brasil Império</t>
  </si>
  <si>
    <t>Primeira República</t>
  </si>
  <si>
    <t>Era Vargas</t>
  </si>
  <si>
    <t>Ditadura Militar</t>
  </si>
  <si>
    <t>Nova República</t>
  </si>
  <si>
    <t>Geografia</t>
  </si>
  <si>
    <t>Geografia Física</t>
  </si>
  <si>
    <t>Clima</t>
  </si>
  <si>
    <t>Relevo</t>
  </si>
  <si>
    <t>Hidrografia</t>
  </si>
  <si>
    <t>Vegetação</t>
  </si>
  <si>
    <t>Solos</t>
  </si>
  <si>
    <t>Geografia Humana</t>
  </si>
  <si>
    <t>População</t>
  </si>
  <si>
    <t>Urbanização</t>
  </si>
  <si>
    <t>Industrialização</t>
  </si>
  <si>
    <t>Globalização</t>
  </si>
  <si>
    <t>Agricultura</t>
  </si>
  <si>
    <t>Geopolítica</t>
  </si>
  <si>
    <t>Cartografia</t>
  </si>
  <si>
    <t>Filosofia</t>
  </si>
  <si>
    <t>Pré-socráticos</t>
  </si>
  <si>
    <t>Sócrates</t>
  </si>
  <si>
    <t>Platão</t>
  </si>
  <si>
    <t>Aristóteles</t>
  </si>
  <si>
    <t>Filosofia Medieval</t>
  </si>
  <si>
    <t>Filosofia Moderna</t>
  </si>
  <si>
    <t>Iluminismo</t>
  </si>
  <si>
    <t>Kant</t>
  </si>
  <si>
    <t>Marx</t>
  </si>
  <si>
    <t>Nietzsche</t>
  </si>
  <si>
    <t>Existencialismo</t>
  </si>
  <si>
    <t>Ética</t>
  </si>
  <si>
    <t>Política</t>
  </si>
  <si>
    <t>Sociologia</t>
  </si>
  <si>
    <t>Cultura</t>
  </si>
  <si>
    <t>Socialização</t>
  </si>
  <si>
    <t>Estado</t>
  </si>
  <si>
    <t>Poder</t>
  </si>
  <si>
    <t>Cidadania</t>
  </si>
  <si>
    <t>Movimentos sociais</t>
  </si>
  <si>
    <t>Desigualdade</t>
  </si>
  <si>
    <t>Durkheim</t>
  </si>
  <si>
    <t>Weber</t>
  </si>
  <si>
    <t>Inglês</t>
  </si>
  <si>
    <t>Interpretação de texto</t>
  </si>
  <si>
    <t>Vocabulário</t>
  </si>
  <si>
    <t>Tempos verbais</t>
  </si>
  <si>
    <t>Modal verbs</t>
  </si>
  <si>
    <t>Voz passiva</t>
  </si>
  <si>
    <t>Prefixos e sufixos</t>
  </si>
  <si>
    <t>Cognatos e falsos cognatos</t>
  </si>
  <si>
    <t>Espanhol</t>
  </si>
  <si>
    <t>Atualidades</t>
  </si>
  <si>
    <t>Política brasileira</t>
  </si>
  <si>
    <t>Política internacional</t>
  </si>
  <si>
    <t>Economia</t>
  </si>
  <si>
    <t>Meio ambiente</t>
  </si>
  <si>
    <t>Mudanças climáticas</t>
  </si>
  <si>
    <t>Tecnologia</t>
  </si>
  <si>
    <t>Inteligência Artificial</t>
  </si>
  <si>
    <t>Saúde pública</t>
  </si>
  <si>
    <t>Direitos Humanos</t>
  </si>
  <si>
    <t>Diversidade</t>
  </si>
  <si>
    <t>Ciência</t>
  </si>
  <si>
    <t>Conteúdo Novo</t>
  </si>
  <si>
    <t>Revisão 24h</t>
  </si>
  <si>
    <t>Revisão 7d</t>
  </si>
  <si>
    <t>Revisão 30d</t>
  </si>
  <si>
    <t>Revisão 90d</t>
  </si>
  <si>
    <t>Revisão 180d</t>
  </si>
  <si>
    <t>Iniciado</t>
  </si>
  <si>
    <t>Finalizado</t>
  </si>
  <si>
    <t>Data</t>
  </si>
  <si>
    <t>Português - Classes gramaticais</t>
  </si>
  <si>
    <t>teste</t>
  </si>
  <si>
    <t>Materia</t>
  </si>
  <si>
    <t>Código</t>
  </si>
  <si>
    <t>Matematica</t>
  </si>
  <si>
    <t>Portugês</t>
  </si>
  <si>
    <t>Ingles</t>
  </si>
  <si>
    <t>C&amp;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</si>
</sst>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" fontId="0" fillId="0" borderId="0" xfId="0" applyNumberFormat="1"/>
    <xf numFmtId="0" fontId="3" fillId="2" borderId="0" xfId="0" applyFont="1" applyFill="1"/>
    <xf numFmtId="14" fontId="0" fillId="0" borderId="0" xfId="0" applyNumberFormat="1"/>
    <xf numFmtId="14" fontId="3" fillId="2" borderId="0" xfId="0" applyNumberFormat="1" applyFont="1" applyFill="1"/>
    <xf numFmtId="14" fontId="3" fillId="2" borderId="1" xfId="0" applyNumberFormat="1" applyFont="1" applyFill="1" applyBorder="1"/>
    <xf numFmtId="14" fontId="4" fillId="5" borderId="1" xfId="0" applyNumberFormat="1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14" fontId="1" fillId="8" borderId="2" xfId="0" applyNumberFormat="1" applyFont="1" applyFill="1" applyBorder="1" applyAlignment="1">
      <alignment horizontal="center" vertical="center"/>
    </xf>
    <xf numFmtId="14" fontId="0" fillId="0" borderId="0" xfId="0" applyNumberFormat="1" applyBorder="1"/>
    <xf numFmtId="14" fontId="4" fillId="5" borderId="0" xfId="0" applyNumberFormat="1" applyFont="1" applyFill="1" applyBorder="1" applyAlignment="1">
      <alignment horizontal="center" vertical="center"/>
    </xf>
    <xf numFmtId="14" fontId="4" fillId="6" borderId="0" xfId="0" applyNumberFormat="1" applyFont="1" applyFill="1" applyBorder="1" applyAlignment="1">
      <alignment horizontal="center" vertical="center"/>
    </xf>
    <xf numFmtId="14" fontId="4" fillId="4" borderId="0" xfId="0" applyNumberFormat="1" applyFont="1" applyFill="1" applyBorder="1" applyAlignment="1">
      <alignment horizontal="center" vertical="center"/>
    </xf>
    <xf numFmtId="14" fontId="1" fillId="7" borderId="0" xfId="0" applyNumberFormat="1" applyFont="1" applyFill="1" applyBorder="1" applyAlignment="1">
      <alignment horizontal="center" vertical="center"/>
    </xf>
    <xf numFmtId="14" fontId="1" fillId="8" borderId="4" xfId="0" applyNumberFormat="1" applyFont="1" applyFill="1" applyBorder="1" applyAlignment="1">
      <alignment horizontal="center" vertical="center"/>
    </xf>
    <xf numFmtId="0" fontId="0" fillId="3" borderId="3" xfId="0" applyFill="1" applyBorder="1"/>
    <xf numFmtId="0" fontId="2" fillId="0" borderId="0" xfId="0" applyFont="1"/>
  </cellXfs>
  <cellStyles count="1">
    <cellStyle name="Normal" xfId="0" builtinId="0"/>
  </cellStyles>
  <dxfs count="18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2" tint="-0.24994659260841701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1"/>
  <sheetViews>
    <sheetView workbookViewId="0">
      <selection activeCell="D15" sqref="D15"/>
    </sheetView>
  </sheetViews>
  <sheetFormatPr defaultRowHeight="15" x14ac:dyDescent="0.25"/>
  <cols>
    <col min="1" max="1" width="11.5703125" bestFit="1" customWidth="1"/>
    <col min="2" max="2" width="34.85546875" bestFit="1" customWidth="1"/>
    <col min="3" max="3" width="20.7109375" bestFit="1" customWidth="1"/>
    <col min="4" max="4" width="34.140625" bestFit="1" customWidth="1"/>
    <col min="5" max="5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373</v>
      </c>
      <c r="G1" t="s">
        <v>379</v>
      </c>
    </row>
    <row r="2" spans="1:7" x14ac:dyDescent="0.25">
      <c r="A2" t="s">
        <v>5</v>
      </c>
      <c r="B2" t="s">
        <v>6</v>
      </c>
      <c r="D2" t="s">
        <v>7</v>
      </c>
      <c r="E2" t="s">
        <v>370</v>
      </c>
      <c r="F2" t="str">
        <f>LEFT(A2,2)</f>
        <v>Ma</v>
      </c>
      <c r="G2" t="str">
        <f>A2&amp;" - "&amp;D2</f>
        <v>Matemática - Sistema de numeração</v>
      </c>
    </row>
    <row r="3" spans="1:7" x14ac:dyDescent="0.25">
      <c r="A3" t="s">
        <v>5</v>
      </c>
      <c r="B3" t="s">
        <v>6</v>
      </c>
      <c r="D3" t="s">
        <v>9</v>
      </c>
      <c r="E3" t="s">
        <v>370</v>
      </c>
      <c r="F3" t="str">
        <f t="shared" ref="F3:F66" si="0">LEFT(A3,2)</f>
        <v>Ma</v>
      </c>
      <c r="G3" t="str">
        <f t="shared" ref="G3:G66" si="1">A3&amp;" - "&amp;D3</f>
        <v>Matemática - Operações básicas</v>
      </c>
    </row>
    <row r="4" spans="1:7" x14ac:dyDescent="0.25">
      <c r="A4" t="s">
        <v>5</v>
      </c>
      <c r="B4" t="s">
        <v>6</v>
      </c>
      <c r="D4" t="s">
        <v>10</v>
      </c>
      <c r="E4" t="s">
        <v>370</v>
      </c>
      <c r="F4" t="str">
        <f t="shared" si="0"/>
        <v>Ma</v>
      </c>
      <c r="G4" t="str">
        <f t="shared" si="1"/>
        <v>Matemática - Potenciação</v>
      </c>
    </row>
    <row r="5" spans="1:7" x14ac:dyDescent="0.25">
      <c r="A5" t="s">
        <v>5</v>
      </c>
      <c r="B5" t="s">
        <v>6</v>
      </c>
      <c r="D5" t="s">
        <v>11</v>
      </c>
      <c r="E5" t="s">
        <v>8</v>
      </c>
      <c r="F5" t="str">
        <f t="shared" si="0"/>
        <v>Ma</v>
      </c>
      <c r="G5" t="str">
        <f t="shared" si="1"/>
        <v>Matemática - Radiciação</v>
      </c>
    </row>
    <row r="6" spans="1:7" x14ac:dyDescent="0.25">
      <c r="A6" t="s">
        <v>5</v>
      </c>
      <c r="B6" t="s">
        <v>6</v>
      </c>
      <c r="D6" t="s">
        <v>12</v>
      </c>
      <c r="E6" t="s">
        <v>8</v>
      </c>
      <c r="F6" t="str">
        <f t="shared" si="0"/>
        <v>Ma</v>
      </c>
      <c r="G6" t="str">
        <f t="shared" si="1"/>
        <v>Matemática - MMC e MDC</v>
      </c>
    </row>
    <row r="7" spans="1:7" x14ac:dyDescent="0.25">
      <c r="A7" t="s">
        <v>5</v>
      </c>
      <c r="B7" t="s">
        <v>6</v>
      </c>
      <c r="D7" t="s">
        <v>13</v>
      </c>
      <c r="E7" t="s">
        <v>8</v>
      </c>
      <c r="F7" t="str">
        <f t="shared" si="0"/>
        <v>Ma</v>
      </c>
      <c r="G7" t="str">
        <f t="shared" si="1"/>
        <v>Matemática - Divisibilidade</v>
      </c>
    </row>
    <row r="8" spans="1:7" x14ac:dyDescent="0.25">
      <c r="A8" t="s">
        <v>5</v>
      </c>
      <c r="B8" t="s">
        <v>6</v>
      </c>
      <c r="D8" t="s">
        <v>14</v>
      </c>
      <c r="E8" t="s">
        <v>8</v>
      </c>
      <c r="F8" t="str">
        <f t="shared" si="0"/>
        <v>Ma</v>
      </c>
      <c r="G8" t="str">
        <f t="shared" si="1"/>
        <v>Matemática - Frações</v>
      </c>
    </row>
    <row r="9" spans="1:7" x14ac:dyDescent="0.25">
      <c r="A9" t="s">
        <v>5</v>
      </c>
      <c r="B9" t="s">
        <v>6</v>
      </c>
      <c r="D9" t="s">
        <v>15</v>
      </c>
      <c r="E9" t="s">
        <v>8</v>
      </c>
      <c r="F9" t="str">
        <f t="shared" si="0"/>
        <v>Ma</v>
      </c>
      <c r="G9" t="str">
        <f t="shared" si="1"/>
        <v>Matemática - Números decimais</v>
      </c>
    </row>
    <row r="10" spans="1:7" x14ac:dyDescent="0.25">
      <c r="A10" t="s">
        <v>5</v>
      </c>
      <c r="B10" t="s">
        <v>6</v>
      </c>
      <c r="D10" t="s">
        <v>16</v>
      </c>
      <c r="E10" t="s">
        <v>8</v>
      </c>
      <c r="F10" t="str">
        <f t="shared" si="0"/>
        <v>Ma</v>
      </c>
      <c r="G10" t="str">
        <f t="shared" si="1"/>
        <v>Matemática - Razões e proporções</v>
      </c>
    </row>
    <row r="11" spans="1:7" x14ac:dyDescent="0.25">
      <c r="A11" t="s">
        <v>5</v>
      </c>
      <c r="B11" t="s">
        <v>6</v>
      </c>
      <c r="D11" t="s">
        <v>17</v>
      </c>
      <c r="E11" t="s">
        <v>8</v>
      </c>
      <c r="F11" t="str">
        <f t="shared" si="0"/>
        <v>Ma</v>
      </c>
      <c r="G11" t="str">
        <f t="shared" si="1"/>
        <v>Matemática - Regra de três simples</v>
      </c>
    </row>
    <row r="12" spans="1:7" x14ac:dyDescent="0.25">
      <c r="A12" t="s">
        <v>5</v>
      </c>
      <c r="B12" t="s">
        <v>6</v>
      </c>
      <c r="D12" t="s">
        <v>18</v>
      </c>
      <c r="E12" t="s">
        <v>8</v>
      </c>
      <c r="F12" t="str">
        <f t="shared" si="0"/>
        <v>Ma</v>
      </c>
      <c r="G12" t="str">
        <f t="shared" si="1"/>
        <v>Matemática - Regra de três composta</v>
      </c>
    </row>
    <row r="13" spans="1:7" x14ac:dyDescent="0.25">
      <c r="A13" t="s">
        <v>5</v>
      </c>
      <c r="B13" t="s">
        <v>6</v>
      </c>
      <c r="D13" t="s">
        <v>19</v>
      </c>
      <c r="E13" t="s">
        <v>8</v>
      </c>
      <c r="F13" t="str">
        <f t="shared" si="0"/>
        <v>Ma</v>
      </c>
      <c r="G13" t="str">
        <f t="shared" si="1"/>
        <v>Matemática - Porcentagem</v>
      </c>
    </row>
    <row r="14" spans="1:7" x14ac:dyDescent="0.25">
      <c r="A14" t="s">
        <v>5</v>
      </c>
      <c r="B14" t="s">
        <v>6</v>
      </c>
      <c r="D14" t="s">
        <v>20</v>
      </c>
      <c r="E14" t="s">
        <v>8</v>
      </c>
      <c r="F14" t="str">
        <f t="shared" si="0"/>
        <v>Ma</v>
      </c>
      <c r="G14" t="str">
        <f t="shared" si="1"/>
        <v>Matemática - Juros simples</v>
      </c>
    </row>
    <row r="15" spans="1:7" x14ac:dyDescent="0.25">
      <c r="A15" t="s">
        <v>5</v>
      </c>
      <c r="B15" t="s">
        <v>6</v>
      </c>
      <c r="D15" t="s">
        <v>21</v>
      </c>
      <c r="E15" t="s">
        <v>8</v>
      </c>
      <c r="F15" t="str">
        <f t="shared" si="0"/>
        <v>Ma</v>
      </c>
      <c r="G15" t="str">
        <f t="shared" si="1"/>
        <v>Matemática - Juros compostos</v>
      </c>
    </row>
    <row r="16" spans="1:7" x14ac:dyDescent="0.25">
      <c r="A16" t="s">
        <v>5</v>
      </c>
      <c r="B16" t="s">
        <v>6</v>
      </c>
      <c r="D16" t="s">
        <v>22</v>
      </c>
      <c r="E16" t="s">
        <v>8</v>
      </c>
      <c r="F16" t="str">
        <f t="shared" si="0"/>
        <v>Ma</v>
      </c>
      <c r="G16" t="str">
        <f t="shared" si="1"/>
        <v>Matemática - Notação científica</v>
      </c>
    </row>
    <row r="17" spans="1:7" x14ac:dyDescent="0.25">
      <c r="A17" t="s">
        <v>5</v>
      </c>
      <c r="B17" t="s">
        <v>6</v>
      </c>
      <c r="D17" t="s">
        <v>23</v>
      </c>
      <c r="E17" t="s">
        <v>8</v>
      </c>
      <c r="F17" t="str">
        <f t="shared" si="0"/>
        <v>Ma</v>
      </c>
      <c r="G17" t="str">
        <f t="shared" si="1"/>
        <v>Matemática - Ordem de grandeza</v>
      </c>
    </row>
    <row r="18" spans="1:7" x14ac:dyDescent="0.25">
      <c r="A18" t="s">
        <v>5</v>
      </c>
      <c r="B18" t="s">
        <v>6</v>
      </c>
      <c r="D18" t="s">
        <v>24</v>
      </c>
      <c r="E18" t="s">
        <v>8</v>
      </c>
      <c r="F18" t="str">
        <f t="shared" si="0"/>
        <v>Ma</v>
      </c>
      <c r="G18" t="str">
        <f t="shared" si="1"/>
        <v>Matemática - Conversão de unidades</v>
      </c>
    </row>
    <row r="19" spans="1:7" x14ac:dyDescent="0.25">
      <c r="A19" t="s">
        <v>5</v>
      </c>
      <c r="B19" t="s">
        <v>25</v>
      </c>
      <c r="C19" t="s">
        <v>26</v>
      </c>
      <c r="D19" t="s">
        <v>27</v>
      </c>
      <c r="E19" t="s">
        <v>8</v>
      </c>
      <c r="F19" t="str">
        <f t="shared" si="0"/>
        <v>Ma</v>
      </c>
      <c r="G19" t="str">
        <f t="shared" si="1"/>
        <v>Matemática - Produtos notáveis</v>
      </c>
    </row>
    <row r="20" spans="1:7" x14ac:dyDescent="0.25">
      <c r="A20" t="s">
        <v>5</v>
      </c>
      <c r="B20" t="s">
        <v>25</v>
      </c>
      <c r="C20" t="s">
        <v>26</v>
      </c>
      <c r="D20" t="s">
        <v>28</v>
      </c>
      <c r="E20" t="s">
        <v>8</v>
      </c>
      <c r="F20" t="str">
        <f t="shared" si="0"/>
        <v>Ma</v>
      </c>
      <c r="G20" t="str">
        <f t="shared" si="1"/>
        <v>Matemática - Fatoração</v>
      </c>
    </row>
    <row r="21" spans="1:7" x14ac:dyDescent="0.25">
      <c r="A21" t="s">
        <v>5</v>
      </c>
      <c r="B21" t="s">
        <v>25</v>
      </c>
      <c r="C21" t="s">
        <v>26</v>
      </c>
      <c r="D21" t="s">
        <v>29</v>
      </c>
      <c r="E21" t="s">
        <v>8</v>
      </c>
      <c r="F21" t="str">
        <f t="shared" si="0"/>
        <v>Ma</v>
      </c>
      <c r="G21" t="str">
        <f t="shared" si="1"/>
        <v>Matemática - Frações algébricas</v>
      </c>
    </row>
    <row r="22" spans="1:7" x14ac:dyDescent="0.25">
      <c r="A22" t="s">
        <v>5</v>
      </c>
      <c r="B22" t="s">
        <v>25</v>
      </c>
      <c r="C22" t="s">
        <v>26</v>
      </c>
      <c r="D22" t="s">
        <v>30</v>
      </c>
      <c r="E22" t="s">
        <v>8</v>
      </c>
      <c r="F22" t="str">
        <f t="shared" si="0"/>
        <v>Ma</v>
      </c>
      <c r="G22" t="str">
        <f t="shared" si="1"/>
        <v>Matemática - Equações do 1º grau</v>
      </c>
    </row>
    <row r="23" spans="1:7" x14ac:dyDescent="0.25">
      <c r="A23" t="s">
        <v>5</v>
      </c>
      <c r="B23" t="s">
        <v>25</v>
      </c>
      <c r="C23" t="s">
        <v>26</v>
      </c>
      <c r="D23" t="s">
        <v>31</v>
      </c>
      <c r="E23" t="s">
        <v>8</v>
      </c>
      <c r="F23" t="str">
        <f t="shared" si="0"/>
        <v>Ma</v>
      </c>
      <c r="G23" t="str">
        <f t="shared" si="1"/>
        <v>Matemática - Sistemas lineares</v>
      </c>
    </row>
    <row r="24" spans="1:7" x14ac:dyDescent="0.25">
      <c r="A24" t="s">
        <v>5</v>
      </c>
      <c r="B24" t="s">
        <v>25</v>
      </c>
      <c r="C24" t="s">
        <v>26</v>
      </c>
      <c r="D24" t="s">
        <v>32</v>
      </c>
      <c r="E24" t="s">
        <v>8</v>
      </c>
      <c r="F24" t="str">
        <f t="shared" si="0"/>
        <v>Ma</v>
      </c>
      <c r="G24" t="str">
        <f t="shared" si="1"/>
        <v>Matemática - Inequações</v>
      </c>
    </row>
    <row r="25" spans="1:7" x14ac:dyDescent="0.25">
      <c r="A25" t="s">
        <v>5</v>
      </c>
      <c r="B25" t="s">
        <v>25</v>
      </c>
      <c r="C25" t="s">
        <v>26</v>
      </c>
      <c r="D25" t="s">
        <v>33</v>
      </c>
      <c r="E25" t="s">
        <v>8</v>
      </c>
      <c r="F25" t="str">
        <f t="shared" si="0"/>
        <v>Ma</v>
      </c>
      <c r="G25" t="str">
        <f t="shared" si="1"/>
        <v>Matemática - Valor absoluto (módulo)</v>
      </c>
    </row>
    <row r="26" spans="1:7" x14ac:dyDescent="0.25">
      <c r="A26" t="s">
        <v>5</v>
      </c>
      <c r="B26" t="s">
        <v>25</v>
      </c>
      <c r="C26" t="s">
        <v>34</v>
      </c>
      <c r="D26" t="s">
        <v>35</v>
      </c>
      <c r="E26" t="s">
        <v>8</v>
      </c>
      <c r="F26" t="str">
        <f t="shared" si="0"/>
        <v>Ma</v>
      </c>
      <c r="G26" t="str">
        <f t="shared" si="1"/>
        <v>Matemática - Conceito de função</v>
      </c>
    </row>
    <row r="27" spans="1:7" x14ac:dyDescent="0.25">
      <c r="A27" t="s">
        <v>5</v>
      </c>
      <c r="B27" t="s">
        <v>25</v>
      </c>
      <c r="C27" t="s">
        <v>34</v>
      </c>
      <c r="D27" t="s">
        <v>36</v>
      </c>
      <c r="E27" t="s">
        <v>8</v>
      </c>
      <c r="F27" t="str">
        <f t="shared" si="0"/>
        <v>Ma</v>
      </c>
      <c r="G27" t="str">
        <f t="shared" si="1"/>
        <v>Matemática - Domínio e imagem</v>
      </c>
    </row>
    <row r="28" spans="1:7" x14ac:dyDescent="0.25">
      <c r="A28" t="s">
        <v>5</v>
      </c>
      <c r="B28" t="s">
        <v>25</v>
      </c>
      <c r="C28" t="s">
        <v>34</v>
      </c>
      <c r="D28" t="s">
        <v>37</v>
      </c>
      <c r="E28" t="s">
        <v>8</v>
      </c>
      <c r="F28" t="str">
        <f t="shared" si="0"/>
        <v>Ma</v>
      </c>
      <c r="G28" t="str">
        <f t="shared" si="1"/>
        <v>Matemática - Função afim</v>
      </c>
    </row>
    <row r="29" spans="1:7" x14ac:dyDescent="0.25">
      <c r="A29" t="s">
        <v>5</v>
      </c>
      <c r="B29" t="s">
        <v>25</v>
      </c>
      <c r="C29" t="s">
        <v>34</v>
      </c>
      <c r="D29" t="s">
        <v>38</v>
      </c>
      <c r="E29" t="s">
        <v>8</v>
      </c>
      <c r="F29" t="str">
        <f t="shared" si="0"/>
        <v>Ma</v>
      </c>
      <c r="G29" t="str">
        <f t="shared" si="1"/>
        <v>Matemática - Função quadrática</v>
      </c>
    </row>
    <row r="30" spans="1:7" x14ac:dyDescent="0.25">
      <c r="A30" t="s">
        <v>5</v>
      </c>
      <c r="B30" t="s">
        <v>25</v>
      </c>
      <c r="C30" t="s">
        <v>34</v>
      </c>
      <c r="D30" t="s">
        <v>39</v>
      </c>
      <c r="E30" t="s">
        <v>8</v>
      </c>
      <c r="F30" t="str">
        <f t="shared" si="0"/>
        <v>Ma</v>
      </c>
      <c r="G30" t="str">
        <f t="shared" si="1"/>
        <v>Matemática - Função modular</v>
      </c>
    </row>
    <row r="31" spans="1:7" x14ac:dyDescent="0.25">
      <c r="A31" t="s">
        <v>5</v>
      </c>
      <c r="B31" t="s">
        <v>25</v>
      </c>
      <c r="C31" t="s">
        <v>34</v>
      </c>
      <c r="D31" t="s">
        <v>40</v>
      </c>
      <c r="E31" t="s">
        <v>8</v>
      </c>
      <c r="F31" t="str">
        <f t="shared" si="0"/>
        <v>Ma</v>
      </c>
      <c r="G31" t="str">
        <f t="shared" si="1"/>
        <v>Matemática - Função exponencial</v>
      </c>
    </row>
    <row r="32" spans="1:7" x14ac:dyDescent="0.25">
      <c r="A32" t="s">
        <v>5</v>
      </c>
      <c r="B32" t="s">
        <v>25</v>
      </c>
      <c r="C32" t="s">
        <v>34</v>
      </c>
      <c r="D32" t="s">
        <v>41</v>
      </c>
      <c r="E32" t="s">
        <v>8</v>
      </c>
      <c r="F32" t="str">
        <f t="shared" si="0"/>
        <v>Ma</v>
      </c>
      <c r="G32" t="str">
        <f t="shared" si="1"/>
        <v>Matemática - Função logarítmica</v>
      </c>
    </row>
    <row r="33" spans="1:7" x14ac:dyDescent="0.25">
      <c r="A33" t="s">
        <v>5</v>
      </c>
      <c r="B33" t="s">
        <v>25</v>
      </c>
      <c r="C33" t="s">
        <v>34</v>
      </c>
      <c r="D33" t="s">
        <v>42</v>
      </c>
      <c r="E33" t="s">
        <v>8</v>
      </c>
      <c r="F33" t="str">
        <f t="shared" si="0"/>
        <v>Ma</v>
      </c>
      <c r="G33" t="str">
        <f t="shared" si="1"/>
        <v>Matemática - Função composta</v>
      </c>
    </row>
    <row r="34" spans="1:7" x14ac:dyDescent="0.25">
      <c r="A34" t="s">
        <v>5</v>
      </c>
      <c r="B34" t="s">
        <v>25</v>
      </c>
      <c r="C34" t="s">
        <v>34</v>
      </c>
      <c r="D34" t="s">
        <v>43</v>
      </c>
      <c r="E34" t="s">
        <v>8</v>
      </c>
      <c r="F34" t="str">
        <f t="shared" si="0"/>
        <v>Ma</v>
      </c>
      <c r="G34" t="str">
        <f t="shared" si="1"/>
        <v>Matemática - Função inversa</v>
      </c>
    </row>
    <row r="35" spans="1:7" x14ac:dyDescent="0.25">
      <c r="A35" t="s">
        <v>5</v>
      </c>
      <c r="B35" t="s">
        <v>44</v>
      </c>
      <c r="C35" t="s">
        <v>45</v>
      </c>
      <c r="D35" t="s">
        <v>46</v>
      </c>
      <c r="E35" t="s">
        <v>8</v>
      </c>
      <c r="F35" t="str">
        <f t="shared" si="0"/>
        <v>Ma</v>
      </c>
      <c r="G35" t="str">
        <f t="shared" si="1"/>
        <v>Matemática - Ângulos</v>
      </c>
    </row>
    <row r="36" spans="1:7" x14ac:dyDescent="0.25">
      <c r="A36" t="s">
        <v>5</v>
      </c>
      <c r="B36" t="s">
        <v>44</v>
      </c>
      <c r="C36" t="s">
        <v>45</v>
      </c>
      <c r="D36" t="s">
        <v>47</v>
      </c>
      <c r="E36" t="s">
        <v>8</v>
      </c>
      <c r="F36" t="str">
        <f t="shared" si="0"/>
        <v>Ma</v>
      </c>
      <c r="G36" t="str">
        <f t="shared" si="1"/>
        <v>Matemática - Triângulos</v>
      </c>
    </row>
    <row r="37" spans="1:7" x14ac:dyDescent="0.25">
      <c r="A37" t="s">
        <v>5</v>
      </c>
      <c r="B37" t="s">
        <v>44</v>
      </c>
      <c r="C37" t="s">
        <v>45</v>
      </c>
      <c r="D37" t="s">
        <v>48</v>
      </c>
      <c r="E37" t="s">
        <v>8</v>
      </c>
      <c r="F37" t="str">
        <f t="shared" si="0"/>
        <v>Ma</v>
      </c>
      <c r="G37" t="str">
        <f t="shared" si="1"/>
        <v>Matemática - Quadriláteros</v>
      </c>
    </row>
    <row r="38" spans="1:7" x14ac:dyDescent="0.25">
      <c r="A38" t="s">
        <v>5</v>
      </c>
      <c r="B38" t="s">
        <v>44</v>
      </c>
      <c r="C38" t="s">
        <v>45</v>
      </c>
      <c r="D38" t="s">
        <v>49</v>
      </c>
      <c r="E38" t="s">
        <v>8</v>
      </c>
      <c r="F38" t="str">
        <f t="shared" si="0"/>
        <v>Ma</v>
      </c>
      <c r="G38" t="str">
        <f t="shared" si="1"/>
        <v>Matemática - Polígonos</v>
      </c>
    </row>
    <row r="39" spans="1:7" x14ac:dyDescent="0.25">
      <c r="A39" t="s">
        <v>5</v>
      </c>
      <c r="B39" t="s">
        <v>44</v>
      </c>
      <c r="C39" t="s">
        <v>45</v>
      </c>
      <c r="D39" t="s">
        <v>50</v>
      </c>
      <c r="E39" t="s">
        <v>8</v>
      </c>
      <c r="F39" t="str">
        <f t="shared" si="0"/>
        <v>Ma</v>
      </c>
      <c r="G39" t="str">
        <f t="shared" si="1"/>
        <v>Matemática - Circunferência</v>
      </c>
    </row>
    <row r="40" spans="1:7" x14ac:dyDescent="0.25">
      <c r="A40" t="s">
        <v>5</v>
      </c>
      <c r="B40" t="s">
        <v>44</v>
      </c>
      <c r="C40" t="s">
        <v>45</v>
      </c>
      <c r="D40" t="s">
        <v>51</v>
      </c>
      <c r="E40" t="s">
        <v>8</v>
      </c>
      <c r="F40" t="str">
        <f t="shared" si="0"/>
        <v>Ma</v>
      </c>
      <c r="G40" t="str">
        <f t="shared" si="1"/>
        <v>Matemática - Círculo</v>
      </c>
    </row>
    <row r="41" spans="1:7" x14ac:dyDescent="0.25">
      <c r="A41" t="s">
        <v>5</v>
      </c>
      <c r="B41" t="s">
        <v>44</v>
      </c>
      <c r="C41" t="s">
        <v>45</v>
      </c>
      <c r="D41" t="s">
        <v>52</v>
      </c>
      <c r="E41" t="s">
        <v>8</v>
      </c>
      <c r="F41" t="str">
        <f t="shared" si="0"/>
        <v>Ma</v>
      </c>
      <c r="G41" t="str">
        <f t="shared" si="1"/>
        <v>Matemática - Áreas</v>
      </c>
    </row>
    <row r="42" spans="1:7" x14ac:dyDescent="0.25">
      <c r="A42" t="s">
        <v>5</v>
      </c>
      <c r="B42" t="s">
        <v>44</v>
      </c>
      <c r="C42" t="s">
        <v>45</v>
      </c>
      <c r="D42" t="s">
        <v>53</v>
      </c>
      <c r="E42" t="s">
        <v>8</v>
      </c>
      <c r="F42" t="str">
        <f t="shared" si="0"/>
        <v>Ma</v>
      </c>
      <c r="G42" t="str">
        <f t="shared" si="1"/>
        <v>Matemática - Perímetros</v>
      </c>
    </row>
    <row r="43" spans="1:7" x14ac:dyDescent="0.25">
      <c r="A43" t="s">
        <v>5</v>
      </c>
      <c r="B43" t="s">
        <v>44</v>
      </c>
      <c r="C43" t="s">
        <v>45</v>
      </c>
      <c r="D43" t="s">
        <v>54</v>
      </c>
      <c r="E43" t="s">
        <v>8</v>
      </c>
      <c r="F43" t="str">
        <f t="shared" si="0"/>
        <v>Ma</v>
      </c>
      <c r="G43" t="str">
        <f t="shared" si="1"/>
        <v>Matemática - Semelhança</v>
      </c>
    </row>
    <row r="44" spans="1:7" x14ac:dyDescent="0.25">
      <c r="A44" t="s">
        <v>5</v>
      </c>
      <c r="B44" t="s">
        <v>44</v>
      </c>
      <c r="C44" t="s">
        <v>45</v>
      </c>
      <c r="D44" t="s">
        <v>55</v>
      </c>
      <c r="E44" t="s">
        <v>8</v>
      </c>
      <c r="F44" t="str">
        <f t="shared" si="0"/>
        <v>Ma</v>
      </c>
      <c r="G44" t="str">
        <f t="shared" si="1"/>
        <v>Matemática - Congruência</v>
      </c>
    </row>
    <row r="45" spans="1:7" x14ac:dyDescent="0.25">
      <c r="A45" t="s">
        <v>5</v>
      </c>
      <c r="B45" t="s">
        <v>44</v>
      </c>
      <c r="C45" t="s">
        <v>45</v>
      </c>
      <c r="D45" t="s">
        <v>56</v>
      </c>
      <c r="E45" t="s">
        <v>8</v>
      </c>
      <c r="F45" t="str">
        <f t="shared" si="0"/>
        <v>Ma</v>
      </c>
      <c r="G45" t="str">
        <f t="shared" si="1"/>
        <v>Matemática - Teorema de Tales</v>
      </c>
    </row>
    <row r="46" spans="1:7" x14ac:dyDescent="0.25">
      <c r="A46" t="s">
        <v>5</v>
      </c>
      <c r="B46" t="s">
        <v>44</v>
      </c>
      <c r="C46" t="s">
        <v>45</v>
      </c>
      <c r="D46" t="s">
        <v>57</v>
      </c>
      <c r="E46" t="s">
        <v>8</v>
      </c>
      <c r="F46" t="str">
        <f t="shared" si="0"/>
        <v>Ma</v>
      </c>
      <c r="G46" t="str">
        <f t="shared" si="1"/>
        <v>Matemática - Teorema de Pitágoras</v>
      </c>
    </row>
    <row r="47" spans="1:7" x14ac:dyDescent="0.25">
      <c r="A47" t="s">
        <v>5</v>
      </c>
      <c r="B47" t="s">
        <v>44</v>
      </c>
      <c r="C47" t="s">
        <v>58</v>
      </c>
      <c r="D47" t="s">
        <v>59</v>
      </c>
      <c r="E47" t="s">
        <v>8</v>
      </c>
      <c r="F47" t="str">
        <f t="shared" si="0"/>
        <v>Ma</v>
      </c>
      <c r="G47" t="str">
        <f t="shared" si="1"/>
        <v>Matemática - Razões trigonométricas</v>
      </c>
    </row>
    <row r="48" spans="1:7" x14ac:dyDescent="0.25">
      <c r="A48" t="s">
        <v>5</v>
      </c>
      <c r="B48" t="s">
        <v>44</v>
      </c>
      <c r="C48" t="s">
        <v>58</v>
      </c>
      <c r="D48" t="s">
        <v>60</v>
      </c>
      <c r="E48" t="s">
        <v>8</v>
      </c>
      <c r="F48" t="str">
        <f t="shared" si="0"/>
        <v>Ma</v>
      </c>
      <c r="G48" t="str">
        <f t="shared" si="1"/>
        <v>Matemática - Ciclo trigonométrico</v>
      </c>
    </row>
    <row r="49" spans="1:7" x14ac:dyDescent="0.25">
      <c r="A49" t="s">
        <v>5</v>
      </c>
      <c r="B49" t="s">
        <v>44</v>
      </c>
      <c r="C49" t="s">
        <v>58</v>
      </c>
      <c r="D49" t="s">
        <v>61</v>
      </c>
      <c r="E49" t="s">
        <v>8</v>
      </c>
      <c r="F49" t="str">
        <f t="shared" si="0"/>
        <v>Ma</v>
      </c>
      <c r="G49" t="str">
        <f t="shared" si="1"/>
        <v>Matemática - Identidades trigonométricas</v>
      </c>
    </row>
    <row r="50" spans="1:7" x14ac:dyDescent="0.25">
      <c r="A50" t="s">
        <v>5</v>
      </c>
      <c r="B50" t="s">
        <v>44</v>
      </c>
      <c r="C50" t="s">
        <v>58</v>
      </c>
      <c r="D50" t="s">
        <v>62</v>
      </c>
      <c r="E50" t="s">
        <v>8</v>
      </c>
      <c r="F50" t="str">
        <f t="shared" si="0"/>
        <v>Ma</v>
      </c>
      <c r="G50" t="str">
        <f t="shared" si="1"/>
        <v>Matemática - Lei dos Senos</v>
      </c>
    </row>
    <row r="51" spans="1:7" x14ac:dyDescent="0.25">
      <c r="A51" t="s">
        <v>5</v>
      </c>
      <c r="B51" t="s">
        <v>44</v>
      </c>
      <c r="C51" t="s">
        <v>58</v>
      </c>
      <c r="D51" t="s">
        <v>63</v>
      </c>
      <c r="E51" t="s">
        <v>8</v>
      </c>
      <c r="F51" t="str">
        <f t="shared" si="0"/>
        <v>Ma</v>
      </c>
      <c r="G51" t="str">
        <f t="shared" si="1"/>
        <v>Matemática - Lei dos Cossenos</v>
      </c>
    </row>
    <row r="52" spans="1:7" x14ac:dyDescent="0.25">
      <c r="A52" t="s">
        <v>5</v>
      </c>
      <c r="B52" t="s">
        <v>44</v>
      </c>
      <c r="C52" t="s">
        <v>64</v>
      </c>
      <c r="D52" t="s">
        <v>65</v>
      </c>
      <c r="E52" t="s">
        <v>8</v>
      </c>
      <c r="F52" t="str">
        <f t="shared" si="0"/>
        <v>Ma</v>
      </c>
      <c r="G52" t="str">
        <f t="shared" si="1"/>
        <v>Matemática - Prismas</v>
      </c>
    </row>
    <row r="53" spans="1:7" x14ac:dyDescent="0.25">
      <c r="A53" t="s">
        <v>5</v>
      </c>
      <c r="B53" t="s">
        <v>44</v>
      </c>
      <c r="C53" t="s">
        <v>64</v>
      </c>
      <c r="D53" t="s">
        <v>66</v>
      </c>
      <c r="E53" t="s">
        <v>8</v>
      </c>
      <c r="F53" t="str">
        <f t="shared" si="0"/>
        <v>Ma</v>
      </c>
      <c r="G53" t="str">
        <f t="shared" si="1"/>
        <v>Matemática - Pirâmides</v>
      </c>
    </row>
    <row r="54" spans="1:7" x14ac:dyDescent="0.25">
      <c r="A54" t="s">
        <v>5</v>
      </c>
      <c r="B54" t="s">
        <v>44</v>
      </c>
      <c r="C54" t="s">
        <v>64</v>
      </c>
      <c r="D54" t="s">
        <v>67</v>
      </c>
      <c r="E54" t="s">
        <v>8</v>
      </c>
      <c r="F54" t="str">
        <f t="shared" si="0"/>
        <v>Ma</v>
      </c>
      <c r="G54" t="str">
        <f t="shared" si="1"/>
        <v>Matemática - Cilindros</v>
      </c>
    </row>
    <row r="55" spans="1:7" x14ac:dyDescent="0.25">
      <c r="A55" t="s">
        <v>5</v>
      </c>
      <c r="B55" t="s">
        <v>44</v>
      </c>
      <c r="C55" t="s">
        <v>64</v>
      </c>
      <c r="D55" t="s">
        <v>68</v>
      </c>
      <c r="E55" t="s">
        <v>8</v>
      </c>
      <c r="F55" t="str">
        <f t="shared" si="0"/>
        <v>Ma</v>
      </c>
      <c r="G55" t="str">
        <f t="shared" si="1"/>
        <v>Matemática - Cones</v>
      </c>
    </row>
    <row r="56" spans="1:7" x14ac:dyDescent="0.25">
      <c r="A56" t="s">
        <v>5</v>
      </c>
      <c r="B56" t="s">
        <v>44</v>
      </c>
      <c r="C56" t="s">
        <v>64</v>
      </c>
      <c r="D56" t="s">
        <v>69</v>
      </c>
      <c r="E56" t="s">
        <v>8</v>
      </c>
      <c r="F56" t="str">
        <f t="shared" si="0"/>
        <v>Ma</v>
      </c>
      <c r="G56" t="str">
        <f t="shared" si="1"/>
        <v>Matemática - Esferas</v>
      </c>
    </row>
    <row r="57" spans="1:7" x14ac:dyDescent="0.25">
      <c r="A57" t="s">
        <v>5</v>
      </c>
      <c r="B57" t="s">
        <v>44</v>
      </c>
      <c r="C57" t="s">
        <v>64</v>
      </c>
      <c r="D57" t="s">
        <v>52</v>
      </c>
      <c r="E57" t="s">
        <v>8</v>
      </c>
      <c r="F57" t="str">
        <f t="shared" si="0"/>
        <v>Ma</v>
      </c>
      <c r="G57" t="str">
        <f t="shared" si="1"/>
        <v>Matemática - Áreas</v>
      </c>
    </row>
    <row r="58" spans="1:7" x14ac:dyDescent="0.25">
      <c r="A58" t="s">
        <v>5</v>
      </c>
      <c r="B58" t="s">
        <v>44</v>
      </c>
      <c r="C58" t="s">
        <v>64</v>
      </c>
      <c r="D58" t="s">
        <v>70</v>
      </c>
      <c r="E58" t="s">
        <v>8</v>
      </c>
      <c r="F58" t="str">
        <f t="shared" si="0"/>
        <v>Ma</v>
      </c>
      <c r="G58" t="str">
        <f t="shared" si="1"/>
        <v>Matemática - Volumes</v>
      </c>
    </row>
    <row r="59" spans="1:7" x14ac:dyDescent="0.25">
      <c r="A59" t="s">
        <v>5</v>
      </c>
      <c r="B59" t="s">
        <v>44</v>
      </c>
      <c r="C59" t="s">
        <v>71</v>
      </c>
      <c r="D59" t="s">
        <v>72</v>
      </c>
      <c r="E59" t="s">
        <v>8</v>
      </c>
      <c r="F59" t="str">
        <f t="shared" si="0"/>
        <v>Ma</v>
      </c>
      <c r="G59" t="str">
        <f t="shared" si="1"/>
        <v>Matemática - Plano cartesiano</v>
      </c>
    </row>
    <row r="60" spans="1:7" x14ac:dyDescent="0.25">
      <c r="A60" t="s">
        <v>5</v>
      </c>
      <c r="B60" t="s">
        <v>44</v>
      </c>
      <c r="C60" t="s">
        <v>71</v>
      </c>
      <c r="D60" t="s">
        <v>73</v>
      </c>
      <c r="E60" t="s">
        <v>8</v>
      </c>
      <c r="F60" t="str">
        <f t="shared" si="0"/>
        <v>Ma</v>
      </c>
      <c r="G60" t="str">
        <f t="shared" si="1"/>
        <v>Matemática - Distância entre pontos</v>
      </c>
    </row>
    <row r="61" spans="1:7" x14ac:dyDescent="0.25">
      <c r="A61" t="s">
        <v>5</v>
      </c>
      <c r="B61" t="s">
        <v>44</v>
      </c>
      <c r="C61" t="s">
        <v>71</v>
      </c>
      <c r="D61" t="s">
        <v>74</v>
      </c>
      <c r="E61" t="s">
        <v>8</v>
      </c>
      <c r="F61" t="str">
        <f t="shared" si="0"/>
        <v>Ma</v>
      </c>
      <c r="G61" t="str">
        <f t="shared" si="1"/>
        <v>Matemática - Ponto médio</v>
      </c>
    </row>
    <row r="62" spans="1:7" x14ac:dyDescent="0.25">
      <c r="A62" t="s">
        <v>5</v>
      </c>
      <c r="B62" t="s">
        <v>44</v>
      </c>
      <c r="C62" t="s">
        <v>71</v>
      </c>
      <c r="D62" t="s">
        <v>75</v>
      </c>
      <c r="E62" t="s">
        <v>8</v>
      </c>
      <c r="F62" t="str">
        <f t="shared" si="0"/>
        <v>Ma</v>
      </c>
      <c r="G62" t="str">
        <f t="shared" si="1"/>
        <v>Matemática - Equação da reta</v>
      </c>
    </row>
    <row r="63" spans="1:7" x14ac:dyDescent="0.25">
      <c r="A63" t="s">
        <v>5</v>
      </c>
      <c r="B63" t="s">
        <v>44</v>
      </c>
      <c r="C63" t="s">
        <v>71</v>
      </c>
      <c r="D63" t="s">
        <v>50</v>
      </c>
      <c r="E63" t="s">
        <v>8</v>
      </c>
      <c r="F63" t="str">
        <f t="shared" si="0"/>
        <v>Ma</v>
      </c>
      <c r="G63" t="str">
        <f t="shared" si="1"/>
        <v>Matemática - Circunferência</v>
      </c>
    </row>
    <row r="64" spans="1:7" x14ac:dyDescent="0.25">
      <c r="A64" t="s">
        <v>5</v>
      </c>
      <c r="B64" t="s">
        <v>44</v>
      </c>
      <c r="C64" t="s">
        <v>71</v>
      </c>
      <c r="D64" t="s">
        <v>76</v>
      </c>
      <c r="E64" t="s">
        <v>8</v>
      </c>
      <c r="F64" t="str">
        <f t="shared" si="0"/>
        <v>Ma</v>
      </c>
      <c r="G64" t="str">
        <f t="shared" si="1"/>
        <v>Matemática - Inclinação</v>
      </c>
    </row>
    <row r="65" spans="1:7" x14ac:dyDescent="0.25">
      <c r="A65" t="s">
        <v>5</v>
      </c>
      <c r="B65" t="s">
        <v>44</v>
      </c>
      <c r="C65" t="s">
        <v>71</v>
      </c>
      <c r="D65" t="s">
        <v>77</v>
      </c>
      <c r="E65" t="s">
        <v>8</v>
      </c>
      <c r="F65" t="str">
        <f t="shared" si="0"/>
        <v>Ma</v>
      </c>
      <c r="G65" t="str">
        <f t="shared" si="1"/>
        <v>Matemática - Paralelismo</v>
      </c>
    </row>
    <row r="66" spans="1:7" x14ac:dyDescent="0.25">
      <c r="A66" t="s">
        <v>5</v>
      </c>
      <c r="B66" t="s">
        <v>44</v>
      </c>
      <c r="C66" t="s">
        <v>71</v>
      </c>
      <c r="D66" t="s">
        <v>78</v>
      </c>
      <c r="E66" t="s">
        <v>8</v>
      </c>
      <c r="F66" t="str">
        <f t="shared" si="0"/>
        <v>Ma</v>
      </c>
      <c r="G66" t="str">
        <f t="shared" si="1"/>
        <v>Matemática - Perpendicularidade</v>
      </c>
    </row>
    <row r="67" spans="1:7" x14ac:dyDescent="0.25">
      <c r="A67" t="s">
        <v>5</v>
      </c>
      <c r="B67" t="s">
        <v>79</v>
      </c>
      <c r="D67" t="s">
        <v>80</v>
      </c>
      <c r="E67" t="s">
        <v>8</v>
      </c>
      <c r="F67" t="str">
        <f t="shared" ref="F67:F130" si="2">LEFT(A67,2)</f>
        <v>Ma</v>
      </c>
      <c r="G67" t="str">
        <f t="shared" ref="G67:G130" si="3">A67&amp;" - "&amp;D67</f>
        <v>Matemática - Média</v>
      </c>
    </row>
    <row r="68" spans="1:7" x14ac:dyDescent="0.25">
      <c r="A68" t="s">
        <v>5</v>
      </c>
      <c r="B68" t="s">
        <v>79</v>
      </c>
      <c r="D68" t="s">
        <v>81</v>
      </c>
      <c r="E68" t="s">
        <v>8</v>
      </c>
      <c r="F68" t="str">
        <f t="shared" si="2"/>
        <v>Ma</v>
      </c>
      <c r="G68" t="str">
        <f t="shared" si="3"/>
        <v>Matemática - Moda</v>
      </c>
    </row>
    <row r="69" spans="1:7" x14ac:dyDescent="0.25">
      <c r="A69" t="s">
        <v>5</v>
      </c>
      <c r="B69" t="s">
        <v>79</v>
      </c>
      <c r="D69" t="s">
        <v>82</v>
      </c>
      <c r="E69" t="s">
        <v>8</v>
      </c>
      <c r="F69" t="str">
        <f t="shared" si="2"/>
        <v>Ma</v>
      </c>
      <c r="G69" t="str">
        <f t="shared" si="3"/>
        <v>Matemática - Mediana</v>
      </c>
    </row>
    <row r="70" spans="1:7" x14ac:dyDescent="0.25">
      <c r="A70" t="s">
        <v>5</v>
      </c>
      <c r="B70" t="s">
        <v>79</v>
      </c>
      <c r="D70" t="s">
        <v>83</v>
      </c>
      <c r="E70" t="s">
        <v>8</v>
      </c>
      <c r="F70" t="str">
        <f t="shared" si="2"/>
        <v>Ma</v>
      </c>
      <c r="G70" t="str">
        <f t="shared" si="3"/>
        <v>Matemática - Desvio padrão</v>
      </c>
    </row>
    <row r="71" spans="1:7" x14ac:dyDescent="0.25">
      <c r="A71" t="s">
        <v>5</v>
      </c>
      <c r="B71" t="s">
        <v>79</v>
      </c>
      <c r="D71" t="s">
        <v>84</v>
      </c>
      <c r="E71" t="s">
        <v>8</v>
      </c>
      <c r="F71" t="str">
        <f t="shared" si="2"/>
        <v>Ma</v>
      </c>
      <c r="G71" t="str">
        <f t="shared" si="3"/>
        <v>Matemática - Análise de gráficos</v>
      </c>
    </row>
    <row r="72" spans="1:7" x14ac:dyDescent="0.25">
      <c r="A72" t="s">
        <v>5</v>
      </c>
      <c r="B72" t="s">
        <v>79</v>
      </c>
      <c r="D72" t="s">
        <v>85</v>
      </c>
      <c r="E72" t="s">
        <v>8</v>
      </c>
      <c r="F72" t="str">
        <f t="shared" si="2"/>
        <v>Ma</v>
      </c>
      <c r="G72" t="str">
        <f t="shared" si="3"/>
        <v>Matemática - Tabelas</v>
      </c>
    </row>
    <row r="73" spans="1:7" x14ac:dyDescent="0.25">
      <c r="A73" t="s">
        <v>5</v>
      </c>
      <c r="B73" t="s">
        <v>79</v>
      </c>
      <c r="D73" t="s">
        <v>86</v>
      </c>
      <c r="E73" t="s">
        <v>8</v>
      </c>
      <c r="F73" t="str">
        <f t="shared" si="2"/>
        <v>Ma</v>
      </c>
      <c r="G73" t="str">
        <f t="shared" si="3"/>
        <v>Matemática - Probabilidade simples</v>
      </c>
    </row>
    <row r="74" spans="1:7" x14ac:dyDescent="0.25">
      <c r="A74" t="s">
        <v>5</v>
      </c>
      <c r="B74" t="s">
        <v>79</v>
      </c>
      <c r="D74" t="s">
        <v>87</v>
      </c>
      <c r="E74" t="s">
        <v>8</v>
      </c>
      <c r="F74" t="str">
        <f t="shared" si="2"/>
        <v>Ma</v>
      </c>
      <c r="G74" t="str">
        <f t="shared" si="3"/>
        <v>Matemática - Probabilidade condicional</v>
      </c>
    </row>
    <row r="75" spans="1:7" x14ac:dyDescent="0.25">
      <c r="A75" t="s">
        <v>5</v>
      </c>
      <c r="B75" t="s">
        <v>79</v>
      </c>
      <c r="D75" t="s">
        <v>88</v>
      </c>
      <c r="E75" t="s">
        <v>8</v>
      </c>
      <c r="F75" t="str">
        <f t="shared" si="2"/>
        <v>Ma</v>
      </c>
      <c r="G75" t="str">
        <f t="shared" si="3"/>
        <v>Matemática - Análise combinatória</v>
      </c>
    </row>
    <row r="76" spans="1:7" x14ac:dyDescent="0.25">
      <c r="A76" t="s">
        <v>5</v>
      </c>
      <c r="B76" t="s">
        <v>79</v>
      </c>
      <c r="D76" t="s">
        <v>89</v>
      </c>
      <c r="E76" t="s">
        <v>8</v>
      </c>
      <c r="F76" t="str">
        <f t="shared" si="2"/>
        <v>Ma</v>
      </c>
      <c r="G76" t="str">
        <f t="shared" si="3"/>
        <v>Matemática - Permutações</v>
      </c>
    </row>
    <row r="77" spans="1:7" x14ac:dyDescent="0.25">
      <c r="A77" t="s">
        <v>5</v>
      </c>
      <c r="B77" t="s">
        <v>79</v>
      </c>
      <c r="D77" t="s">
        <v>90</v>
      </c>
      <c r="E77" t="s">
        <v>8</v>
      </c>
      <c r="F77" t="str">
        <f t="shared" si="2"/>
        <v>Ma</v>
      </c>
      <c r="G77" t="str">
        <f t="shared" si="3"/>
        <v>Matemática - Arranjos</v>
      </c>
    </row>
    <row r="78" spans="1:7" x14ac:dyDescent="0.25">
      <c r="A78" t="s">
        <v>5</v>
      </c>
      <c r="B78" t="s">
        <v>79</v>
      </c>
      <c r="D78" t="s">
        <v>91</v>
      </c>
      <c r="E78" t="s">
        <v>8</v>
      </c>
      <c r="F78" t="str">
        <f t="shared" si="2"/>
        <v>Ma</v>
      </c>
      <c r="G78" t="str">
        <f t="shared" si="3"/>
        <v>Matemática - Combinações</v>
      </c>
    </row>
    <row r="79" spans="1:7" x14ac:dyDescent="0.25">
      <c r="A79" t="s">
        <v>5</v>
      </c>
      <c r="B79" t="s">
        <v>92</v>
      </c>
      <c r="D79" t="s">
        <v>93</v>
      </c>
      <c r="E79" t="s">
        <v>8</v>
      </c>
      <c r="F79" t="str">
        <f t="shared" si="2"/>
        <v>Ma</v>
      </c>
      <c r="G79" t="str">
        <f t="shared" si="3"/>
        <v>Matemática - Matrizes</v>
      </c>
    </row>
    <row r="80" spans="1:7" x14ac:dyDescent="0.25">
      <c r="A80" t="s">
        <v>5</v>
      </c>
      <c r="B80" t="s">
        <v>92</v>
      </c>
      <c r="D80" t="s">
        <v>94</v>
      </c>
      <c r="E80" t="s">
        <v>8</v>
      </c>
      <c r="F80" t="str">
        <f t="shared" si="2"/>
        <v>Ma</v>
      </c>
      <c r="G80" t="str">
        <f t="shared" si="3"/>
        <v>Matemática - Determinantes</v>
      </c>
    </row>
    <row r="81" spans="1:7" x14ac:dyDescent="0.25">
      <c r="A81" t="s">
        <v>5</v>
      </c>
      <c r="B81" t="s">
        <v>92</v>
      </c>
      <c r="D81" t="s">
        <v>95</v>
      </c>
      <c r="E81" t="s">
        <v>8</v>
      </c>
      <c r="F81" t="str">
        <f t="shared" si="2"/>
        <v>Ma</v>
      </c>
      <c r="G81" t="str">
        <f t="shared" si="3"/>
        <v>Matemática - Sistemas lineares (Gauss)</v>
      </c>
    </row>
    <row r="82" spans="1:7" x14ac:dyDescent="0.25">
      <c r="A82" t="s">
        <v>5</v>
      </c>
      <c r="B82" t="s">
        <v>92</v>
      </c>
      <c r="D82" t="s">
        <v>96</v>
      </c>
      <c r="E82" t="s">
        <v>8</v>
      </c>
      <c r="F82" t="str">
        <f t="shared" si="2"/>
        <v>Ma</v>
      </c>
      <c r="G82" t="str">
        <f t="shared" si="3"/>
        <v>Matemática - Sequências</v>
      </c>
    </row>
    <row r="83" spans="1:7" x14ac:dyDescent="0.25">
      <c r="A83" t="s">
        <v>5</v>
      </c>
      <c r="B83" t="s">
        <v>92</v>
      </c>
      <c r="D83" t="s">
        <v>97</v>
      </c>
      <c r="E83" t="s">
        <v>8</v>
      </c>
      <c r="F83" t="str">
        <f t="shared" si="2"/>
        <v>Ma</v>
      </c>
      <c r="G83" t="str">
        <f t="shared" si="3"/>
        <v>Matemática - Progressão Aritmética (PA)</v>
      </c>
    </row>
    <row r="84" spans="1:7" x14ac:dyDescent="0.25">
      <c r="A84" t="s">
        <v>5</v>
      </c>
      <c r="B84" t="s">
        <v>92</v>
      </c>
      <c r="D84" t="s">
        <v>98</v>
      </c>
      <c r="E84" t="s">
        <v>8</v>
      </c>
      <c r="F84" t="str">
        <f t="shared" si="2"/>
        <v>Ma</v>
      </c>
      <c r="G84" t="str">
        <f t="shared" si="3"/>
        <v>Matemática - Progressão Geométrica (PG)</v>
      </c>
    </row>
    <row r="85" spans="1:7" x14ac:dyDescent="0.25">
      <c r="A85" t="s">
        <v>5</v>
      </c>
      <c r="B85" t="s">
        <v>92</v>
      </c>
      <c r="D85" t="s">
        <v>99</v>
      </c>
      <c r="E85" t="s">
        <v>8</v>
      </c>
      <c r="F85" t="str">
        <f t="shared" si="2"/>
        <v>Ma</v>
      </c>
      <c r="G85" t="str">
        <f t="shared" si="3"/>
        <v>Matemática - Números complexos</v>
      </c>
    </row>
    <row r="86" spans="1:7" x14ac:dyDescent="0.25">
      <c r="A86" t="s">
        <v>5</v>
      </c>
      <c r="B86" t="s">
        <v>92</v>
      </c>
      <c r="D86" t="s">
        <v>100</v>
      </c>
      <c r="E86" t="s">
        <v>8</v>
      </c>
      <c r="F86" t="str">
        <f t="shared" si="2"/>
        <v>Ma</v>
      </c>
      <c r="G86" t="str">
        <f t="shared" si="3"/>
        <v>Matemática - Polinômios</v>
      </c>
    </row>
    <row r="87" spans="1:7" x14ac:dyDescent="0.25">
      <c r="A87" t="s">
        <v>5</v>
      </c>
      <c r="B87" t="s">
        <v>92</v>
      </c>
      <c r="D87" t="s">
        <v>101</v>
      </c>
      <c r="E87" t="s">
        <v>8</v>
      </c>
      <c r="F87" t="str">
        <f t="shared" si="2"/>
        <v>Ma</v>
      </c>
      <c r="G87" t="str">
        <f t="shared" si="3"/>
        <v>Matemática - Equações polinomiais</v>
      </c>
    </row>
    <row r="88" spans="1:7" x14ac:dyDescent="0.25">
      <c r="A88" t="s">
        <v>5</v>
      </c>
      <c r="B88" t="s">
        <v>102</v>
      </c>
      <c r="D88" t="s">
        <v>103</v>
      </c>
      <c r="E88" t="s">
        <v>8</v>
      </c>
      <c r="F88" t="str">
        <f t="shared" si="2"/>
        <v>Ma</v>
      </c>
      <c r="G88" t="str">
        <f t="shared" si="3"/>
        <v>Matemática - Limites</v>
      </c>
    </row>
    <row r="89" spans="1:7" x14ac:dyDescent="0.25">
      <c r="A89" t="s">
        <v>5</v>
      </c>
      <c r="B89" t="s">
        <v>102</v>
      </c>
      <c r="D89" t="s">
        <v>104</v>
      </c>
      <c r="E89" t="s">
        <v>8</v>
      </c>
      <c r="F89" t="str">
        <f t="shared" si="2"/>
        <v>Ma</v>
      </c>
      <c r="G89" t="str">
        <f t="shared" si="3"/>
        <v>Matemática - Continuidade</v>
      </c>
    </row>
    <row r="90" spans="1:7" x14ac:dyDescent="0.25">
      <c r="A90" t="s">
        <v>5</v>
      </c>
      <c r="B90" t="s">
        <v>102</v>
      </c>
      <c r="D90" t="s">
        <v>105</v>
      </c>
      <c r="E90" t="s">
        <v>8</v>
      </c>
      <c r="F90" t="str">
        <f t="shared" si="2"/>
        <v>Ma</v>
      </c>
      <c r="G90" t="str">
        <f t="shared" si="3"/>
        <v>Matemática - Derivadas</v>
      </c>
    </row>
    <row r="91" spans="1:7" x14ac:dyDescent="0.25">
      <c r="A91" t="s">
        <v>5</v>
      </c>
      <c r="B91" t="s">
        <v>102</v>
      </c>
      <c r="D91" t="s">
        <v>106</v>
      </c>
      <c r="E91" t="s">
        <v>8</v>
      </c>
      <c r="F91" t="str">
        <f t="shared" si="2"/>
        <v>Ma</v>
      </c>
      <c r="G91" t="str">
        <f t="shared" si="3"/>
        <v>Matemática - Regras de derivação</v>
      </c>
    </row>
    <row r="92" spans="1:7" x14ac:dyDescent="0.25">
      <c r="A92" t="s">
        <v>5</v>
      </c>
      <c r="B92" t="s">
        <v>102</v>
      </c>
      <c r="D92" t="s">
        <v>107</v>
      </c>
      <c r="E92" t="s">
        <v>8</v>
      </c>
      <c r="F92" t="str">
        <f t="shared" si="2"/>
        <v>Ma</v>
      </c>
      <c r="G92" t="str">
        <f t="shared" si="3"/>
        <v>Matemática - Aplicações da derivada</v>
      </c>
    </row>
    <row r="93" spans="1:7" x14ac:dyDescent="0.25">
      <c r="A93" t="s">
        <v>5</v>
      </c>
      <c r="B93" t="s">
        <v>102</v>
      </c>
      <c r="D93" t="s">
        <v>108</v>
      </c>
      <c r="E93" t="s">
        <v>8</v>
      </c>
      <c r="F93" t="str">
        <f t="shared" si="2"/>
        <v>Ma</v>
      </c>
      <c r="G93" t="str">
        <f t="shared" si="3"/>
        <v>Matemática - Máximos e mínimos</v>
      </c>
    </row>
    <row r="94" spans="1:7" x14ac:dyDescent="0.25">
      <c r="A94" t="s">
        <v>5</v>
      </c>
      <c r="B94" t="s">
        <v>102</v>
      </c>
      <c r="D94" t="s">
        <v>109</v>
      </c>
      <c r="E94" t="s">
        <v>8</v>
      </c>
      <c r="F94" t="str">
        <f t="shared" si="2"/>
        <v>Ma</v>
      </c>
      <c r="G94" t="str">
        <f t="shared" si="3"/>
        <v>Matemática - Taxas de variação</v>
      </c>
    </row>
    <row r="95" spans="1:7" x14ac:dyDescent="0.25">
      <c r="A95" t="s">
        <v>5</v>
      </c>
      <c r="B95" t="s">
        <v>102</v>
      </c>
      <c r="D95" t="s">
        <v>110</v>
      </c>
      <c r="E95" t="s">
        <v>8</v>
      </c>
      <c r="F95" t="str">
        <f t="shared" si="2"/>
        <v>Ma</v>
      </c>
      <c r="G95" t="str">
        <f t="shared" si="3"/>
        <v>Matemática - Integrais definidas</v>
      </c>
    </row>
    <row r="96" spans="1:7" x14ac:dyDescent="0.25">
      <c r="A96" t="s">
        <v>5</v>
      </c>
      <c r="B96" t="s">
        <v>102</v>
      </c>
      <c r="D96" t="s">
        <v>111</v>
      </c>
      <c r="E96" t="s">
        <v>8</v>
      </c>
      <c r="F96" t="str">
        <f t="shared" si="2"/>
        <v>Ma</v>
      </c>
      <c r="G96" t="str">
        <f t="shared" si="3"/>
        <v>Matemática - Integrais indefinidas</v>
      </c>
    </row>
    <row r="97" spans="1:7" x14ac:dyDescent="0.25">
      <c r="A97" t="s">
        <v>5</v>
      </c>
      <c r="B97" t="s">
        <v>102</v>
      </c>
      <c r="D97" t="s">
        <v>112</v>
      </c>
      <c r="E97" t="s">
        <v>8</v>
      </c>
      <c r="F97" t="str">
        <f t="shared" si="2"/>
        <v>Ma</v>
      </c>
      <c r="G97" t="str">
        <f t="shared" si="3"/>
        <v>Matemática - Área sob curvas</v>
      </c>
    </row>
    <row r="98" spans="1:7" x14ac:dyDescent="0.25">
      <c r="A98" t="s">
        <v>5</v>
      </c>
      <c r="B98" t="s">
        <v>102</v>
      </c>
      <c r="D98" t="s">
        <v>113</v>
      </c>
      <c r="E98" t="s">
        <v>8</v>
      </c>
      <c r="F98" t="str">
        <f t="shared" si="2"/>
        <v>Ma</v>
      </c>
      <c r="G98" t="str">
        <f t="shared" si="3"/>
        <v>Matemática - Teorema Fundamental do Cálculo</v>
      </c>
    </row>
    <row r="99" spans="1:7" x14ac:dyDescent="0.25">
      <c r="A99" t="s">
        <v>5</v>
      </c>
      <c r="B99" t="s">
        <v>102</v>
      </c>
      <c r="D99" t="s">
        <v>114</v>
      </c>
      <c r="E99" t="s">
        <v>8</v>
      </c>
      <c r="F99" t="str">
        <f t="shared" si="2"/>
        <v>Ma</v>
      </c>
      <c r="G99" t="str">
        <f t="shared" si="3"/>
        <v>Matemática - Introdução às Equações Diferenciais</v>
      </c>
    </row>
    <row r="100" spans="1:7" x14ac:dyDescent="0.25">
      <c r="A100" t="s">
        <v>115</v>
      </c>
      <c r="B100" t="s">
        <v>116</v>
      </c>
      <c r="D100" t="s">
        <v>117</v>
      </c>
      <c r="E100" t="s">
        <v>8</v>
      </c>
      <c r="F100" t="str">
        <f t="shared" si="2"/>
        <v>Fí</v>
      </c>
      <c r="G100" t="str">
        <f t="shared" si="3"/>
        <v>Física - Cinemática</v>
      </c>
    </row>
    <row r="101" spans="1:7" x14ac:dyDescent="0.25">
      <c r="A101" t="s">
        <v>115</v>
      </c>
      <c r="B101" t="s">
        <v>116</v>
      </c>
      <c r="D101" t="s">
        <v>118</v>
      </c>
      <c r="E101" t="s">
        <v>8</v>
      </c>
      <c r="F101" t="str">
        <f t="shared" si="2"/>
        <v>Fí</v>
      </c>
      <c r="G101" t="str">
        <f t="shared" si="3"/>
        <v>Física - Dinâmica</v>
      </c>
    </row>
    <row r="102" spans="1:7" x14ac:dyDescent="0.25">
      <c r="A102" t="s">
        <v>115</v>
      </c>
      <c r="B102" t="s">
        <v>116</v>
      </c>
      <c r="D102" t="s">
        <v>119</v>
      </c>
      <c r="E102" t="s">
        <v>8</v>
      </c>
      <c r="F102" t="str">
        <f t="shared" si="2"/>
        <v>Fí</v>
      </c>
      <c r="G102" t="str">
        <f t="shared" si="3"/>
        <v>Física - Leis de Newton</v>
      </c>
    </row>
    <row r="103" spans="1:7" x14ac:dyDescent="0.25">
      <c r="A103" t="s">
        <v>115</v>
      </c>
      <c r="B103" t="s">
        <v>116</v>
      </c>
      <c r="D103" t="s">
        <v>120</v>
      </c>
      <c r="E103" t="s">
        <v>8</v>
      </c>
      <c r="F103" t="str">
        <f t="shared" si="2"/>
        <v>Fí</v>
      </c>
      <c r="G103" t="str">
        <f t="shared" si="3"/>
        <v>Física - Trabalho</v>
      </c>
    </row>
    <row r="104" spans="1:7" x14ac:dyDescent="0.25">
      <c r="A104" t="s">
        <v>115</v>
      </c>
      <c r="B104" t="s">
        <v>116</v>
      </c>
      <c r="D104" t="s">
        <v>121</v>
      </c>
      <c r="E104" t="s">
        <v>8</v>
      </c>
      <c r="F104" t="str">
        <f t="shared" si="2"/>
        <v>Fí</v>
      </c>
      <c r="G104" t="str">
        <f t="shared" si="3"/>
        <v>Física - Energia</v>
      </c>
    </row>
    <row r="105" spans="1:7" x14ac:dyDescent="0.25">
      <c r="A105" t="s">
        <v>115</v>
      </c>
      <c r="B105" t="s">
        <v>116</v>
      </c>
      <c r="D105" t="s">
        <v>122</v>
      </c>
      <c r="E105" t="s">
        <v>8</v>
      </c>
      <c r="F105" t="str">
        <f t="shared" si="2"/>
        <v>Fí</v>
      </c>
      <c r="G105" t="str">
        <f t="shared" si="3"/>
        <v>Física - Potência</v>
      </c>
    </row>
    <row r="106" spans="1:7" x14ac:dyDescent="0.25">
      <c r="A106" t="s">
        <v>115</v>
      </c>
      <c r="B106" t="s">
        <v>116</v>
      </c>
      <c r="D106" t="s">
        <v>123</v>
      </c>
      <c r="E106" t="s">
        <v>8</v>
      </c>
      <c r="F106" t="str">
        <f t="shared" si="2"/>
        <v>Fí</v>
      </c>
      <c r="G106" t="str">
        <f t="shared" si="3"/>
        <v>Física - Impulso</v>
      </c>
    </row>
    <row r="107" spans="1:7" x14ac:dyDescent="0.25">
      <c r="A107" t="s">
        <v>115</v>
      </c>
      <c r="B107" t="s">
        <v>116</v>
      </c>
      <c r="D107" t="s">
        <v>124</v>
      </c>
      <c r="E107" t="s">
        <v>8</v>
      </c>
      <c r="F107" t="str">
        <f t="shared" si="2"/>
        <v>Fí</v>
      </c>
      <c r="G107" t="str">
        <f t="shared" si="3"/>
        <v>Física - Quantidade de movimento</v>
      </c>
    </row>
    <row r="108" spans="1:7" x14ac:dyDescent="0.25">
      <c r="A108" t="s">
        <v>115</v>
      </c>
      <c r="B108" t="s">
        <v>116</v>
      </c>
      <c r="D108" t="s">
        <v>125</v>
      </c>
      <c r="E108" t="s">
        <v>8</v>
      </c>
      <c r="F108" t="str">
        <f t="shared" si="2"/>
        <v>Fí</v>
      </c>
      <c r="G108" t="str">
        <f t="shared" si="3"/>
        <v>Física - Colisões</v>
      </c>
    </row>
    <row r="109" spans="1:7" x14ac:dyDescent="0.25">
      <c r="A109" t="s">
        <v>115</v>
      </c>
      <c r="B109" t="s">
        <v>116</v>
      </c>
      <c r="D109" t="s">
        <v>126</v>
      </c>
      <c r="E109" t="s">
        <v>8</v>
      </c>
      <c r="F109" t="str">
        <f t="shared" si="2"/>
        <v>Fí</v>
      </c>
      <c r="G109" t="str">
        <f t="shared" si="3"/>
        <v>Física - Gravitação</v>
      </c>
    </row>
    <row r="110" spans="1:7" x14ac:dyDescent="0.25">
      <c r="A110" t="s">
        <v>115</v>
      </c>
      <c r="B110" t="s">
        <v>116</v>
      </c>
      <c r="D110" t="s">
        <v>127</v>
      </c>
      <c r="E110" t="s">
        <v>8</v>
      </c>
      <c r="F110" t="str">
        <f t="shared" si="2"/>
        <v>Fí</v>
      </c>
      <c r="G110" t="str">
        <f t="shared" si="3"/>
        <v>Física - Hidrostática</v>
      </c>
    </row>
    <row r="111" spans="1:7" x14ac:dyDescent="0.25">
      <c r="A111" t="s">
        <v>115</v>
      </c>
      <c r="B111" t="s">
        <v>116</v>
      </c>
      <c r="D111" t="s">
        <v>128</v>
      </c>
      <c r="E111" t="s">
        <v>8</v>
      </c>
      <c r="F111" t="str">
        <f t="shared" si="2"/>
        <v>Fí</v>
      </c>
      <c r="G111" t="str">
        <f t="shared" si="3"/>
        <v>Física - Hidrodinâmica</v>
      </c>
    </row>
    <row r="112" spans="1:7" x14ac:dyDescent="0.25">
      <c r="A112" t="s">
        <v>115</v>
      </c>
      <c r="B112" t="s">
        <v>129</v>
      </c>
      <c r="D112" t="s">
        <v>130</v>
      </c>
      <c r="E112" t="s">
        <v>8</v>
      </c>
      <c r="F112" t="str">
        <f t="shared" si="2"/>
        <v>Fí</v>
      </c>
      <c r="G112" t="str">
        <f t="shared" si="3"/>
        <v>Física - Temperatura</v>
      </c>
    </row>
    <row r="113" spans="1:7" x14ac:dyDescent="0.25">
      <c r="A113" t="s">
        <v>115</v>
      </c>
      <c r="B113" t="s">
        <v>129</v>
      </c>
      <c r="D113" t="s">
        <v>131</v>
      </c>
      <c r="E113" t="s">
        <v>8</v>
      </c>
      <c r="F113" t="str">
        <f t="shared" si="2"/>
        <v>Fí</v>
      </c>
      <c r="G113" t="str">
        <f t="shared" si="3"/>
        <v>Física - Dilatação térmica</v>
      </c>
    </row>
    <row r="114" spans="1:7" x14ac:dyDescent="0.25">
      <c r="A114" t="s">
        <v>115</v>
      </c>
      <c r="B114" t="s">
        <v>129</v>
      </c>
      <c r="D114" t="s">
        <v>132</v>
      </c>
      <c r="E114" t="s">
        <v>8</v>
      </c>
      <c r="F114" t="str">
        <f t="shared" si="2"/>
        <v>Fí</v>
      </c>
      <c r="G114" t="str">
        <f t="shared" si="3"/>
        <v>Física - Calorimetria</v>
      </c>
    </row>
    <row r="115" spans="1:7" x14ac:dyDescent="0.25">
      <c r="A115" t="s">
        <v>115</v>
      </c>
      <c r="B115" t="s">
        <v>129</v>
      </c>
      <c r="D115" t="s">
        <v>133</v>
      </c>
      <c r="E115" t="s">
        <v>8</v>
      </c>
      <c r="F115" t="str">
        <f t="shared" si="2"/>
        <v>Fí</v>
      </c>
      <c r="G115" t="str">
        <f t="shared" si="3"/>
        <v>Física - Mudanças de estado</v>
      </c>
    </row>
    <row r="116" spans="1:7" x14ac:dyDescent="0.25">
      <c r="A116" t="s">
        <v>115</v>
      </c>
      <c r="B116" t="s">
        <v>129</v>
      </c>
      <c r="D116" t="s">
        <v>134</v>
      </c>
      <c r="E116" t="s">
        <v>8</v>
      </c>
      <c r="F116" t="str">
        <f t="shared" si="2"/>
        <v>Fí</v>
      </c>
      <c r="G116" t="str">
        <f t="shared" si="3"/>
        <v>Física - Gases</v>
      </c>
    </row>
    <row r="117" spans="1:7" x14ac:dyDescent="0.25">
      <c r="A117" t="s">
        <v>115</v>
      </c>
      <c r="B117" t="s">
        <v>129</v>
      </c>
      <c r="D117" t="s">
        <v>135</v>
      </c>
      <c r="E117" t="s">
        <v>8</v>
      </c>
      <c r="F117" t="str">
        <f t="shared" si="2"/>
        <v>Fí</v>
      </c>
      <c r="G117" t="str">
        <f t="shared" si="3"/>
        <v>Física - Termodinâmica</v>
      </c>
    </row>
    <row r="118" spans="1:7" x14ac:dyDescent="0.25">
      <c r="A118" t="s">
        <v>115</v>
      </c>
      <c r="B118" t="s">
        <v>136</v>
      </c>
      <c r="D118" t="s">
        <v>137</v>
      </c>
      <c r="E118" t="s">
        <v>8</v>
      </c>
      <c r="F118" t="str">
        <f t="shared" si="2"/>
        <v>Fí</v>
      </c>
      <c r="G118" t="str">
        <f t="shared" si="3"/>
        <v>Física - Ondas</v>
      </c>
    </row>
    <row r="119" spans="1:7" x14ac:dyDescent="0.25">
      <c r="A119" t="s">
        <v>115</v>
      </c>
      <c r="B119" t="s">
        <v>136</v>
      </c>
      <c r="D119" t="s">
        <v>138</v>
      </c>
      <c r="E119" t="s">
        <v>8</v>
      </c>
      <c r="F119" t="str">
        <f t="shared" si="2"/>
        <v>Fí</v>
      </c>
      <c r="G119" t="str">
        <f t="shared" si="3"/>
        <v>Física - Som</v>
      </c>
    </row>
    <row r="120" spans="1:7" x14ac:dyDescent="0.25">
      <c r="A120" t="s">
        <v>115</v>
      </c>
      <c r="B120" t="s">
        <v>136</v>
      </c>
      <c r="D120" t="s">
        <v>139</v>
      </c>
      <c r="E120" t="s">
        <v>8</v>
      </c>
      <c r="F120" t="str">
        <f t="shared" si="2"/>
        <v>Fí</v>
      </c>
      <c r="G120" t="str">
        <f t="shared" si="3"/>
        <v>Física - Interferência</v>
      </c>
    </row>
    <row r="121" spans="1:7" x14ac:dyDescent="0.25">
      <c r="A121" t="s">
        <v>115</v>
      </c>
      <c r="B121" t="s">
        <v>136</v>
      </c>
      <c r="D121" t="s">
        <v>140</v>
      </c>
      <c r="E121" t="s">
        <v>8</v>
      </c>
      <c r="F121" t="str">
        <f t="shared" si="2"/>
        <v>Fí</v>
      </c>
      <c r="G121" t="str">
        <f t="shared" si="3"/>
        <v>Física - Difração</v>
      </c>
    </row>
    <row r="122" spans="1:7" x14ac:dyDescent="0.25">
      <c r="A122" t="s">
        <v>115</v>
      </c>
      <c r="B122" t="s">
        <v>136</v>
      </c>
      <c r="D122" t="s">
        <v>141</v>
      </c>
      <c r="E122" t="s">
        <v>8</v>
      </c>
      <c r="F122" t="str">
        <f t="shared" si="2"/>
        <v>Fí</v>
      </c>
      <c r="G122" t="str">
        <f t="shared" si="3"/>
        <v>Física - Ressonância</v>
      </c>
    </row>
    <row r="123" spans="1:7" x14ac:dyDescent="0.25">
      <c r="A123" t="s">
        <v>115</v>
      </c>
      <c r="B123" t="s">
        <v>142</v>
      </c>
      <c r="D123" t="s">
        <v>143</v>
      </c>
      <c r="E123" t="s">
        <v>8</v>
      </c>
      <c r="F123" t="str">
        <f t="shared" si="2"/>
        <v>Fí</v>
      </c>
      <c r="G123" t="str">
        <f t="shared" si="3"/>
        <v>Física - Reflexão</v>
      </c>
    </row>
    <row r="124" spans="1:7" x14ac:dyDescent="0.25">
      <c r="A124" t="s">
        <v>115</v>
      </c>
      <c r="B124" t="s">
        <v>142</v>
      </c>
      <c r="D124" t="s">
        <v>144</v>
      </c>
      <c r="E124" t="s">
        <v>8</v>
      </c>
      <c r="F124" t="str">
        <f t="shared" si="2"/>
        <v>Fí</v>
      </c>
      <c r="G124" t="str">
        <f t="shared" si="3"/>
        <v>Física - Refração</v>
      </c>
    </row>
    <row r="125" spans="1:7" x14ac:dyDescent="0.25">
      <c r="A125" t="s">
        <v>115</v>
      </c>
      <c r="B125" t="s">
        <v>142</v>
      </c>
      <c r="D125" t="s">
        <v>145</v>
      </c>
      <c r="E125" t="s">
        <v>8</v>
      </c>
      <c r="F125" t="str">
        <f t="shared" si="2"/>
        <v>Fí</v>
      </c>
      <c r="G125" t="str">
        <f t="shared" si="3"/>
        <v>Física - Espelhos</v>
      </c>
    </row>
    <row r="126" spans="1:7" x14ac:dyDescent="0.25">
      <c r="A126" t="s">
        <v>115</v>
      </c>
      <c r="B126" t="s">
        <v>142</v>
      </c>
      <c r="D126" t="s">
        <v>146</v>
      </c>
      <c r="E126" t="s">
        <v>8</v>
      </c>
      <c r="F126" t="str">
        <f t="shared" si="2"/>
        <v>Fí</v>
      </c>
      <c r="G126" t="str">
        <f t="shared" si="3"/>
        <v>Física - Lentes</v>
      </c>
    </row>
    <row r="127" spans="1:7" x14ac:dyDescent="0.25">
      <c r="A127" t="s">
        <v>115</v>
      </c>
      <c r="B127" t="s">
        <v>142</v>
      </c>
      <c r="D127" t="s">
        <v>147</v>
      </c>
      <c r="E127" t="s">
        <v>8</v>
      </c>
      <c r="F127" t="str">
        <f t="shared" si="2"/>
        <v>Fí</v>
      </c>
      <c r="G127" t="str">
        <f t="shared" si="3"/>
        <v>Física - Instrumentos ópticos</v>
      </c>
    </row>
    <row r="128" spans="1:7" x14ac:dyDescent="0.25">
      <c r="A128" t="s">
        <v>115</v>
      </c>
      <c r="B128" t="s">
        <v>148</v>
      </c>
      <c r="D128" t="s">
        <v>149</v>
      </c>
      <c r="E128" t="s">
        <v>8</v>
      </c>
      <c r="F128" t="str">
        <f t="shared" si="2"/>
        <v>Fí</v>
      </c>
      <c r="G128" t="str">
        <f t="shared" si="3"/>
        <v>Física - Eletrostática</v>
      </c>
    </row>
    <row r="129" spans="1:7" x14ac:dyDescent="0.25">
      <c r="A129" t="s">
        <v>115</v>
      </c>
      <c r="B129" t="s">
        <v>148</v>
      </c>
      <c r="D129" t="s">
        <v>150</v>
      </c>
      <c r="E129" t="s">
        <v>8</v>
      </c>
      <c r="F129" t="str">
        <f t="shared" si="2"/>
        <v>Fí</v>
      </c>
      <c r="G129" t="str">
        <f t="shared" si="3"/>
        <v>Física - Campo elétrico</v>
      </c>
    </row>
    <row r="130" spans="1:7" x14ac:dyDescent="0.25">
      <c r="A130" t="s">
        <v>115</v>
      </c>
      <c r="B130" t="s">
        <v>148</v>
      </c>
      <c r="D130" t="s">
        <v>151</v>
      </c>
      <c r="E130" t="s">
        <v>8</v>
      </c>
      <c r="F130" t="str">
        <f t="shared" si="2"/>
        <v>Fí</v>
      </c>
      <c r="G130" t="str">
        <f t="shared" si="3"/>
        <v>Física - Potencial elétrico</v>
      </c>
    </row>
    <row r="131" spans="1:7" x14ac:dyDescent="0.25">
      <c r="A131" t="s">
        <v>115</v>
      </c>
      <c r="B131" t="s">
        <v>148</v>
      </c>
      <c r="D131" t="s">
        <v>152</v>
      </c>
      <c r="E131" t="s">
        <v>8</v>
      </c>
      <c r="F131" t="str">
        <f t="shared" ref="F131:F194" si="4">LEFT(A131,2)</f>
        <v>Fí</v>
      </c>
      <c r="G131" t="str">
        <f t="shared" ref="G131:G194" si="5">A131&amp;" - "&amp;D131</f>
        <v>Física - Corrente elétrica</v>
      </c>
    </row>
    <row r="132" spans="1:7" x14ac:dyDescent="0.25">
      <c r="A132" t="s">
        <v>115</v>
      </c>
      <c r="B132" t="s">
        <v>148</v>
      </c>
      <c r="D132" t="s">
        <v>153</v>
      </c>
      <c r="E132" t="s">
        <v>8</v>
      </c>
      <c r="F132" t="str">
        <f t="shared" si="4"/>
        <v>Fí</v>
      </c>
      <c r="G132" t="str">
        <f t="shared" si="5"/>
        <v>Física - Resistores</v>
      </c>
    </row>
    <row r="133" spans="1:7" x14ac:dyDescent="0.25">
      <c r="A133" t="s">
        <v>115</v>
      </c>
      <c r="B133" t="s">
        <v>148</v>
      </c>
      <c r="D133" t="s">
        <v>154</v>
      </c>
      <c r="E133" t="s">
        <v>8</v>
      </c>
      <c r="F133" t="str">
        <f t="shared" si="4"/>
        <v>Fí</v>
      </c>
      <c r="G133" t="str">
        <f t="shared" si="5"/>
        <v>Física - Associação de resistores</v>
      </c>
    </row>
    <row r="134" spans="1:7" x14ac:dyDescent="0.25">
      <c r="A134" t="s">
        <v>115</v>
      </c>
      <c r="B134" t="s">
        <v>148</v>
      </c>
      <c r="D134" t="s">
        <v>155</v>
      </c>
      <c r="E134" t="s">
        <v>8</v>
      </c>
      <c r="F134" t="str">
        <f t="shared" si="4"/>
        <v>Fí</v>
      </c>
      <c r="G134" t="str">
        <f t="shared" si="5"/>
        <v>Física - Leis de Ohm</v>
      </c>
    </row>
    <row r="135" spans="1:7" x14ac:dyDescent="0.25">
      <c r="A135" t="s">
        <v>115</v>
      </c>
      <c r="B135" t="s">
        <v>148</v>
      </c>
      <c r="D135" t="s">
        <v>156</v>
      </c>
      <c r="E135" t="s">
        <v>8</v>
      </c>
      <c r="F135" t="str">
        <f t="shared" si="4"/>
        <v>Fí</v>
      </c>
      <c r="G135" t="str">
        <f t="shared" si="5"/>
        <v>Física - Potência elétrica</v>
      </c>
    </row>
    <row r="136" spans="1:7" x14ac:dyDescent="0.25">
      <c r="A136" t="s">
        <v>115</v>
      </c>
      <c r="B136" t="s">
        <v>148</v>
      </c>
      <c r="D136" t="s">
        <v>157</v>
      </c>
      <c r="E136" t="s">
        <v>8</v>
      </c>
      <c r="F136" t="str">
        <f t="shared" si="4"/>
        <v>Fí</v>
      </c>
      <c r="G136" t="str">
        <f t="shared" si="5"/>
        <v>Física - Circuitos elétricos</v>
      </c>
    </row>
    <row r="137" spans="1:7" x14ac:dyDescent="0.25">
      <c r="A137" t="s">
        <v>115</v>
      </c>
      <c r="B137" t="s">
        <v>148</v>
      </c>
      <c r="D137" t="s">
        <v>158</v>
      </c>
      <c r="E137" t="s">
        <v>8</v>
      </c>
      <c r="F137" t="str">
        <f t="shared" si="4"/>
        <v>Fí</v>
      </c>
      <c r="G137" t="str">
        <f t="shared" si="5"/>
        <v>Física - Magnetismo</v>
      </c>
    </row>
    <row r="138" spans="1:7" x14ac:dyDescent="0.25">
      <c r="A138" t="s">
        <v>115</v>
      </c>
      <c r="B138" t="s">
        <v>148</v>
      </c>
      <c r="D138" t="s">
        <v>159</v>
      </c>
      <c r="E138" t="s">
        <v>8</v>
      </c>
      <c r="F138" t="str">
        <f t="shared" si="4"/>
        <v>Fí</v>
      </c>
      <c r="G138" t="str">
        <f t="shared" si="5"/>
        <v>Física - Indução eletromagnética</v>
      </c>
    </row>
    <row r="139" spans="1:7" x14ac:dyDescent="0.25">
      <c r="A139" t="s">
        <v>115</v>
      </c>
      <c r="B139" t="s">
        <v>160</v>
      </c>
      <c r="D139" t="s">
        <v>161</v>
      </c>
      <c r="E139" t="s">
        <v>8</v>
      </c>
      <c r="F139" t="str">
        <f t="shared" si="4"/>
        <v>Fí</v>
      </c>
      <c r="G139" t="str">
        <f t="shared" si="5"/>
        <v>Física - Radioatividade</v>
      </c>
    </row>
    <row r="140" spans="1:7" x14ac:dyDescent="0.25">
      <c r="A140" t="s">
        <v>115</v>
      </c>
      <c r="B140" t="s">
        <v>160</v>
      </c>
      <c r="D140" t="s">
        <v>162</v>
      </c>
      <c r="E140" t="s">
        <v>8</v>
      </c>
      <c r="F140" t="str">
        <f t="shared" si="4"/>
        <v>Fí</v>
      </c>
      <c r="G140" t="str">
        <f t="shared" si="5"/>
        <v>Física - Fissão nuclear</v>
      </c>
    </row>
    <row r="141" spans="1:7" x14ac:dyDescent="0.25">
      <c r="A141" t="s">
        <v>115</v>
      </c>
      <c r="B141" t="s">
        <v>160</v>
      </c>
      <c r="D141" t="s">
        <v>163</v>
      </c>
      <c r="E141" t="s">
        <v>8</v>
      </c>
      <c r="F141" t="str">
        <f t="shared" si="4"/>
        <v>Fí</v>
      </c>
      <c r="G141" t="str">
        <f t="shared" si="5"/>
        <v>Física - Fusão nuclear</v>
      </c>
    </row>
    <row r="142" spans="1:7" x14ac:dyDescent="0.25">
      <c r="A142" t="s">
        <v>115</v>
      </c>
      <c r="B142" t="s">
        <v>160</v>
      </c>
      <c r="D142" t="s">
        <v>164</v>
      </c>
      <c r="E142" t="s">
        <v>8</v>
      </c>
      <c r="F142" t="str">
        <f t="shared" si="4"/>
        <v>Fí</v>
      </c>
      <c r="G142" t="str">
        <f t="shared" si="5"/>
        <v>Física - Modelo atômico</v>
      </c>
    </row>
    <row r="143" spans="1:7" x14ac:dyDescent="0.25">
      <c r="A143" t="s">
        <v>115</v>
      </c>
      <c r="B143" t="s">
        <v>160</v>
      </c>
      <c r="D143" t="s">
        <v>165</v>
      </c>
      <c r="E143" t="s">
        <v>8</v>
      </c>
      <c r="F143" t="str">
        <f t="shared" si="4"/>
        <v>Fí</v>
      </c>
      <c r="G143" t="str">
        <f t="shared" si="5"/>
        <v>Física - Relatividade (noções)</v>
      </c>
    </row>
    <row r="144" spans="1:7" x14ac:dyDescent="0.25">
      <c r="A144" t="s">
        <v>115</v>
      </c>
      <c r="B144" t="s">
        <v>160</v>
      </c>
      <c r="D144" t="s">
        <v>166</v>
      </c>
      <c r="E144" t="s">
        <v>8</v>
      </c>
      <c r="F144" t="str">
        <f t="shared" si="4"/>
        <v>Fí</v>
      </c>
      <c r="G144" t="str">
        <f t="shared" si="5"/>
        <v>Física - Física quântica (noções)</v>
      </c>
    </row>
    <row r="145" spans="1:7" x14ac:dyDescent="0.25">
      <c r="A145" t="s">
        <v>167</v>
      </c>
      <c r="B145" t="s">
        <v>168</v>
      </c>
      <c r="D145" t="s">
        <v>169</v>
      </c>
      <c r="E145" t="s">
        <v>8</v>
      </c>
      <c r="F145" t="str">
        <f t="shared" si="4"/>
        <v>Qu</v>
      </c>
      <c r="G145" t="str">
        <f t="shared" si="5"/>
        <v>Química - Estrutura atômica</v>
      </c>
    </row>
    <row r="146" spans="1:7" x14ac:dyDescent="0.25">
      <c r="A146" t="s">
        <v>167</v>
      </c>
      <c r="B146" t="s">
        <v>168</v>
      </c>
      <c r="D146" t="s">
        <v>170</v>
      </c>
      <c r="E146" t="s">
        <v>8</v>
      </c>
      <c r="F146" t="str">
        <f t="shared" si="4"/>
        <v>Qu</v>
      </c>
      <c r="G146" t="str">
        <f t="shared" si="5"/>
        <v>Química - Tabela periódica</v>
      </c>
    </row>
    <row r="147" spans="1:7" x14ac:dyDescent="0.25">
      <c r="A147" t="s">
        <v>167</v>
      </c>
      <c r="B147" t="s">
        <v>168</v>
      </c>
      <c r="D147" t="s">
        <v>171</v>
      </c>
      <c r="E147" t="s">
        <v>8</v>
      </c>
      <c r="F147" t="str">
        <f t="shared" si="4"/>
        <v>Qu</v>
      </c>
      <c r="G147" t="str">
        <f t="shared" si="5"/>
        <v>Química - Ligações químicas</v>
      </c>
    </row>
    <row r="148" spans="1:7" x14ac:dyDescent="0.25">
      <c r="A148" t="s">
        <v>167</v>
      </c>
      <c r="B148" t="s">
        <v>168</v>
      </c>
      <c r="D148" t="s">
        <v>172</v>
      </c>
      <c r="E148" t="s">
        <v>8</v>
      </c>
      <c r="F148" t="str">
        <f t="shared" si="4"/>
        <v>Qu</v>
      </c>
      <c r="G148" t="str">
        <f t="shared" si="5"/>
        <v>Química - Geometria molecular</v>
      </c>
    </row>
    <row r="149" spans="1:7" x14ac:dyDescent="0.25">
      <c r="A149" t="s">
        <v>167</v>
      </c>
      <c r="B149" t="s">
        <v>168</v>
      </c>
      <c r="D149" t="s">
        <v>173</v>
      </c>
      <c r="E149" t="s">
        <v>8</v>
      </c>
      <c r="F149" t="str">
        <f t="shared" si="4"/>
        <v>Qu</v>
      </c>
      <c r="G149" t="str">
        <f t="shared" si="5"/>
        <v>Química - Polaridade</v>
      </c>
    </row>
    <row r="150" spans="1:7" x14ac:dyDescent="0.25">
      <c r="A150" t="s">
        <v>167</v>
      </c>
      <c r="B150" t="s">
        <v>168</v>
      </c>
      <c r="D150" t="s">
        <v>174</v>
      </c>
      <c r="E150" t="s">
        <v>8</v>
      </c>
      <c r="F150" t="str">
        <f t="shared" si="4"/>
        <v>Qu</v>
      </c>
      <c r="G150" t="str">
        <f t="shared" si="5"/>
        <v>Química - Forças intermoleculares</v>
      </c>
    </row>
    <row r="151" spans="1:7" x14ac:dyDescent="0.25">
      <c r="A151" t="s">
        <v>167</v>
      </c>
      <c r="B151" t="s">
        <v>175</v>
      </c>
      <c r="D151" t="s">
        <v>176</v>
      </c>
      <c r="E151" t="s">
        <v>8</v>
      </c>
      <c r="F151" t="str">
        <f t="shared" si="4"/>
        <v>Qu</v>
      </c>
      <c r="G151" t="str">
        <f t="shared" si="5"/>
        <v>Química - Soluções</v>
      </c>
    </row>
    <row r="152" spans="1:7" x14ac:dyDescent="0.25">
      <c r="A152" t="s">
        <v>167</v>
      </c>
      <c r="B152" t="s">
        <v>175</v>
      </c>
      <c r="D152" t="s">
        <v>177</v>
      </c>
      <c r="E152" t="s">
        <v>8</v>
      </c>
      <c r="F152" t="str">
        <f t="shared" si="4"/>
        <v>Qu</v>
      </c>
      <c r="G152" t="str">
        <f t="shared" si="5"/>
        <v>Química - Concentração</v>
      </c>
    </row>
    <row r="153" spans="1:7" x14ac:dyDescent="0.25">
      <c r="A153" t="s">
        <v>167</v>
      </c>
      <c r="B153" t="s">
        <v>175</v>
      </c>
      <c r="D153" t="s">
        <v>178</v>
      </c>
      <c r="E153" t="s">
        <v>8</v>
      </c>
      <c r="F153" t="str">
        <f t="shared" si="4"/>
        <v>Qu</v>
      </c>
      <c r="G153" t="str">
        <f t="shared" si="5"/>
        <v>Química - Diluição</v>
      </c>
    </row>
    <row r="154" spans="1:7" x14ac:dyDescent="0.25">
      <c r="A154" t="s">
        <v>167</v>
      </c>
      <c r="B154" t="s">
        <v>175</v>
      </c>
      <c r="D154" t="s">
        <v>179</v>
      </c>
      <c r="E154" t="s">
        <v>8</v>
      </c>
      <c r="F154" t="str">
        <f t="shared" si="4"/>
        <v>Qu</v>
      </c>
      <c r="G154" t="str">
        <f t="shared" si="5"/>
        <v>Química - Termoquímica</v>
      </c>
    </row>
    <row r="155" spans="1:7" x14ac:dyDescent="0.25">
      <c r="A155" t="s">
        <v>167</v>
      </c>
      <c r="B155" t="s">
        <v>175</v>
      </c>
      <c r="D155" t="s">
        <v>180</v>
      </c>
      <c r="E155" t="s">
        <v>8</v>
      </c>
      <c r="F155" t="str">
        <f t="shared" si="4"/>
        <v>Qu</v>
      </c>
      <c r="G155" t="str">
        <f t="shared" si="5"/>
        <v>Química - Cinética química</v>
      </c>
    </row>
    <row r="156" spans="1:7" x14ac:dyDescent="0.25">
      <c r="A156" t="s">
        <v>167</v>
      </c>
      <c r="B156" t="s">
        <v>175</v>
      </c>
      <c r="D156" t="s">
        <v>181</v>
      </c>
      <c r="E156" t="s">
        <v>8</v>
      </c>
      <c r="F156" t="str">
        <f t="shared" si="4"/>
        <v>Qu</v>
      </c>
      <c r="G156" t="str">
        <f t="shared" si="5"/>
        <v>Química - Equilíbrio químico</v>
      </c>
    </row>
    <row r="157" spans="1:7" x14ac:dyDescent="0.25">
      <c r="A157" t="s">
        <v>167</v>
      </c>
      <c r="B157" t="s">
        <v>175</v>
      </c>
      <c r="D157" t="s">
        <v>182</v>
      </c>
      <c r="E157" t="s">
        <v>8</v>
      </c>
      <c r="F157" t="str">
        <f t="shared" si="4"/>
        <v>Qu</v>
      </c>
      <c r="G157" t="str">
        <f t="shared" si="5"/>
        <v>Química - Ácidos e bases</v>
      </c>
    </row>
    <row r="158" spans="1:7" x14ac:dyDescent="0.25">
      <c r="A158" t="s">
        <v>167</v>
      </c>
      <c r="B158" t="s">
        <v>175</v>
      </c>
      <c r="D158" t="s">
        <v>183</v>
      </c>
      <c r="E158" t="s">
        <v>8</v>
      </c>
      <c r="F158" t="str">
        <f t="shared" si="4"/>
        <v>Qu</v>
      </c>
      <c r="G158" t="str">
        <f t="shared" si="5"/>
        <v>Química - pH</v>
      </c>
    </row>
    <row r="159" spans="1:7" x14ac:dyDescent="0.25">
      <c r="A159" t="s">
        <v>167</v>
      </c>
      <c r="B159" t="s">
        <v>175</v>
      </c>
      <c r="D159" t="s">
        <v>184</v>
      </c>
      <c r="E159" t="s">
        <v>8</v>
      </c>
      <c r="F159" t="str">
        <f t="shared" si="4"/>
        <v>Qu</v>
      </c>
      <c r="G159" t="str">
        <f t="shared" si="5"/>
        <v>Química - Oxidação e redução</v>
      </c>
    </row>
    <row r="160" spans="1:7" x14ac:dyDescent="0.25">
      <c r="A160" t="s">
        <v>167</v>
      </c>
      <c r="B160" t="s">
        <v>175</v>
      </c>
      <c r="D160" t="s">
        <v>185</v>
      </c>
      <c r="E160" t="s">
        <v>8</v>
      </c>
      <c r="F160" t="str">
        <f t="shared" si="4"/>
        <v>Qu</v>
      </c>
      <c r="G160" t="str">
        <f t="shared" si="5"/>
        <v>Química - Eletroquímica</v>
      </c>
    </row>
    <row r="161" spans="1:7" x14ac:dyDescent="0.25">
      <c r="A161" t="s">
        <v>167</v>
      </c>
      <c r="B161" t="s">
        <v>186</v>
      </c>
      <c r="D161" t="s">
        <v>187</v>
      </c>
      <c r="E161" t="s">
        <v>8</v>
      </c>
      <c r="F161" t="str">
        <f t="shared" si="4"/>
        <v>Qu</v>
      </c>
      <c r="G161" t="str">
        <f t="shared" si="5"/>
        <v>Química - Cadeias carbônicas</v>
      </c>
    </row>
    <row r="162" spans="1:7" x14ac:dyDescent="0.25">
      <c r="A162" t="s">
        <v>167</v>
      </c>
      <c r="B162" t="s">
        <v>186</v>
      </c>
      <c r="D162" t="s">
        <v>188</v>
      </c>
      <c r="E162" t="s">
        <v>8</v>
      </c>
      <c r="F162" t="str">
        <f t="shared" si="4"/>
        <v>Qu</v>
      </c>
      <c r="G162" t="str">
        <f t="shared" si="5"/>
        <v>Química - Funções orgânicas</v>
      </c>
    </row>
    <row r="163" spans="1:7" x14ac:dyDescent="0.25">
      <c r="A163" t="s">
        <v>167</v>
      </c>
      <c r="B163" t="s">
        <v>186</v>
      </c>
      <c r="D163" t="s">
        <v>189</v>
      </c>
      <c r="E163" t="s">
        <v>8</v>
      </c>
      <c r="F163" t="str">
        <f t="shared" si="4"/>
        <v>Qu</v>
      </c>
      <c r="G163" t="str">
        <f t="shared" si="5"/>
        <v>Química - Isomeria</v>
      </c>
    </row>
    <row r="164" spans="1:7" x14ac:dyDescent="0.25">
      <c r="A164" t="s">
        <v>167</v>
      </c>
      <c r="B164" t="s">
        <v>186</v>
      </c>
      <c r="D164" t="s">
        <v>190</v>
      </c>
      <c r="E164" t="s">
        <v>8</v>
      </c>
      <c r="F164" t="str">
        <f t="shared" si="4"/>
        <v>Qu</v>
      </c>
      <c r="G164" t="str">
        <f t="shared" si="5"/>
        <v>Química - Reações orgânicas</v>
      </c>
    </row>
    <row r="165" spans="1:7" x14ac:dyDescent="0.25">
      <c r="A165" t="s">
        <v>167</v>
      </c>
      <c r="B165" t="s">
        <v>186</v>
      </c>
      <c r="D165" t="s">
        <v>191</v>
      </c>
      <c r="E165" t="s">
        <v>8</v>
      </c>
      <c r="F165" t="str">
        <f t="shared" si="4"/>
        <v>Qu</v>
      </c>
      <c r="G165" t="str">
        <f t="shared" si="5"/>
        <v>Química - Polímeros</v>
      </c>
    </row>
    <row r="166" spans="1:7" x14ac:dyDescent="0.25">
      <c r="A166" t="s">
        <v>167</v>
      </c>
      <c r="B166" t="s">
        <v>192</v>
      </c>
      <c r="D166" t="s">
        <v>193</v>
      </c>
      <c r="E166" t="s">
        <v>8</v>
      </c>
      <c r="F166" t="str">
        <f t="shared" si="4"/>
        <v>Qu</v>
      </c>
      <c r="G166" t="str">
        <f t="shared" si="5"/>
        <v>Química - Poluição</v>
      </c>
    </row>
    <row r="167" spans="1:7" x14ac:dyDescent="0.25">
      <c r="A167" t="s">
        <v>167</v>
      </c>
      <c r="B167" t="s">
        <v>192</v>
      </c>
      <c r="D167" t="s">
        <v>194</v>
      </c>
      <c r="E167" t="s">
        <v>8</v>
      </c>
      <c r="F167" t="str">
        <f t="shared" si="4"/>
        <v>Qu</v>
      </c>
      <c r="G167" t="str">
        <f t="shared" si="5"/>
        <v>Química - Tratamento da água</v>
      </c>
    </row>
    <row r="168" spans="1:7" x14ac:dyDescent="0.25">
      <c r="A168" t="s">
        <v>167</v>
      </c>
      <c r="B168" t="s">
        <v>192</v>
      </c>
      <c r="D168" t="s">
        <v>195</v>
      </c>
      <c r="E168" t="s">
        <v>8</v>
      </c>
      <c r="F168" t="str">
        <f t="shared" si="4"/>
        <v>Qu</v>
      </c>
      <c r="G168" t="str">
        <f t="shared" si="5"/>
        <v>Química - Ciclos biogeoquímicos</v>
      </c>
    </row>
    <row r="169" spans="1:7" x14ac:dyDescent="0.25">
      <c r="A169" t="s">
        <v>167</v>
      </c>
      <c r="B169" t="s">
        <v>192</v>
      </c>
      <c r="D169" t="s">
        <v>196</v>
      </c>
      <c r="E169" t="s">
        <v>8</v>
      </c>
      <c r="F169" t="str">
        <f t="shared" si="4"/>
        <v>Qu</v>
      </c>
      <c r="G169" t="str">
        <f t="shared" si="5"/>
        <v>Química - Sustentabilidade</v>
      </c>
    </row>
    <row r="170" spans="1:7" x14ac:dyDescent="0.25">
      <c r="A170" t="s">
        <v>197</v>
      </c>
      <c r="B170" t="s">
        <v>198</v>
      </c>
      <c r="D170" t="s">
        <v>199</v>
      </c>
      <c r="E170" t="s">
        <v>8</v>
      </c>
      <c r="F170" t="str">
        <f t="shared" si="4"/>
        <v>Bi</v>
      </c>
      <c r="G170" t="str">
        <f t="shared" si="5"/>
        <v>Biologia - Células</v>
      </c>
    </row>
    <row r="171" spans="1:7" x14ac:dyDescent="0.25">
      <c r="A171" t="s">
        <v>197</v>
      </c>
      <c r="B171" t="s">
        <v>198</v>
      </c>
      <c r="D171" t="s">
        <v>200</v>
      </c>
      <c r="E171" t="s">
        <v>8</v>
      </c>
      <c r="F171" t="str">
        <f t="shared" si="4"/>
        <v>Bi</v>
      </c>
      <c r="G171" t="str">
        <f t="shared" si="5"/>
        <v>Biologia - Organelas</v>
      </c>
    </row>
    <row r="172" spans="1:7" x14ac:dyDescent="0.25">
      <c r="A172" t="s">
        <v>197</v>
      </c>
      <c r="B172" t="s">
        <v>198</v>
      </c>
      <c r="D172" t="s">
        <v>201</v>
      </c>
      <c r="E172" t="s">
        <v>8</v>
      </c>
      <c r="F172" t="str">
        <f t="shared" si="4"/>
        <v>Bi</v>
      </c>
      <c r="G172" t="str">
        <f t="shared" si="5"/>
        <v>Biologia - Membrana plasmática</v>
      </c>
    </row>
    <row r="173" spans="1:7" x14ac:dyDescent="0.25">
      <c r="A173" t="s">
        <v>197</v>
      </c>
      <c r="B173" t="s">
        <v>198</v>
      </c>
      <c r="D173" t="s">
        <v>202</v>
      </c>
      <c r="E173" t="s">
        <v>8</v>
      </c>
      <c r="F173" t="str">
        <f t="shared" si="4"/>
        <v>Bi</v>
      </c>
      <c r="G173" t="str">
        <f t="shared" si="5"/>
        <v>Biologia - Transporte celular</v>
      </c>
    </row>
    <row r="174" spans="1:7" x14ac:dyDescent="0.25">
      <c r="A174" t="s">
        <v>197</v>
      </c>
      <c r="B174" t="s">
        <v>203</v>
      </c>
      <c r="D174" t="s">
        <v>204</v>
      </c>
      <c r="E174" t="s">
        <v>8</v>
      </c>
      <c r="F174" t="str">
        <f t="shared" si="4"/>
        <v>Bi</v>
      </c>
      <c r="G174" t="str">
        <f t="shared" si="5"/>
        <v>Biologia - Água</v>
      </c>
    </row>
    <row r="175" spans="1:7" x14ac:dyDescent="0.25">
      <c r="A175" t="s">
        <v>197</v>
      </c>
      <c r="B175" t="s">
        <v>203</v>
      </c>
      <c r="D175" t="s">
        <v>205</v>
      </c>
      <c r="E175" t="s">
        <v>8</v>
      </c>
      <c r="F175" t="str">
        <f t="shared" si="4"/>
        <v>Bi</v>
      </c>
      <c r="G175" t="str">
        <f t="shared" si="5"/>
        <v>Biologia - Sais minerais</v>
      </c>
    </row>
    <row r="176" spans="1:7" x14ac:dyDescent="0.25">
      <c r="A176" t="s">
        <v>197</v>
      </c>
      <c r="B176" t="s">
        <v>203</v>
      </c>
      <c r="D176" t="s">
        <v>206</v>
      </c>
      <c r="E176" t="s">
        <v>8</v>
      </c>
      <c r="F176" t="str">
        <f t="shared" si="4"/>
        <v>Bi</v>
      </c>
      <c r="G176" t="str">
        <f t="shared" si="5"/>
        <v>Biologia - Carboidratos</v>
      </c>
    </row>
    <row r="177" spans="1:7" x14ac:dyDescent="0.25">
      <c r="A177" t="s">
        <v>197</v>
      </c>
      <c r="B177" t="s">
        <v>203</v>
      </c>
      <c r="D177" t="s">
        <v>207</v>
      </c>
      <c r="E177" t="s">
        <v>8</v>
      </c>
      <c r="F177" t="str">
        <f t="shared" si="4"/>
        <v>Bi</v>
      </c>
      <c r="G177" t="str">
        <f t="shared" si="5"/>
        <v>Biologia - Lipídios</v>
      </c>
    </row>
    <row r="178" spans="1:7" x14ac:dyDescent="0.25">
      <c r="A178" t="s">
        <v>197</v>
      </c>
      <c r="B178" t="s">
        <v>203</v>
      </c>
      <c r="D178" t="s">
        <v>208</v>
      </c>
      <c r="E178" t="s">
        <v>8</v>
      </c>
      <c r="F178" t="str">
        <f t="shared" si="4"/>
        <v>Bi</v>
      </c>
      <c r="G178" t="str">
        <f t="shared" si="5"/>
        <v>Biologia - Proteínas</v>
      </c>
    </row>
    <row r="179" spans="1:7" x14ac:dyDescent="0.25">
      <c r="A179" t="s">
        <v>197</v>
      </c>
      <c r="B179" t="s">
        <v>203</v>
      </c>
      <c r="D179" t="s">
        <v>209</v>
      </c>
      <c r="E179" t="s">
        <v>8</v>
      </c>
      <c r="F179" t="str">
        <f t="shared" si="4"/>
        <v>Bi</v>
      </c>
      <c r="G179" t="str">
        <f t="shared" si="5"/>
        <v>Biologia - Vitaminas</v>
      </c>
    </row>
    <row r="180" spans="1:7" x14ac:dyDescent="0.25">
      <c r="A180" t="s">
        <v>197</v>
      </c>
      <c r="B180" t="s">
        <v>203</v>
      </c>
      <c r="D180" t="s">
        <v>210</v>
      </c>
      <c r="E180" t="s">
        <v>8</v>
      </c>
      <c r="F180" t="str">
        <f t="shared" si="4"/>
        <v>Bi</v>
      </c>
      <c r="G180" t="str">
        <f t="shared" si="5"/>
        <v>Biologia - Enzimas</v>
      </c>
    </row>
    <row r="181" spans="1:7" x14ac:dyDescent="0.25">
      <c r="A181" t="s">
        <v>197</v>
      </c>
      <c r="B181" t="s">
        <v>211</v>
      </c>
      <c r="D181" t="s">
        <v>212</v>
      </c>
      <c r="E181" t="s">
        <v>8</v>
      </c>
      <c r="F181" t="str">
        <f t="shared" si="4"/>
        <v>Bi</v>
      </c>
      <c r="G181" t="str">
        <f t="shared" si="5"/>
        <v>Biologia - Leis de Mendel</v>
      </c>
    </row>
    <row r="182" spans="1:7" x14ac:dyDescent="0.25">
      <c r="A182" t="s">
        <v>197</v>
      </c>
      <c r="B182" t="s">
        <v>211</v>
      </c>
      <c r="D182" t="s">
        <v>213</v>
      </c>
      <c r="E182" t="s">
        <v>8</v>
      </c>
      <c r="F182" t="str">
        <f t="shared" si="4"/>
        <v>Bi</v>
      </c>
      <c r="G182" t="str">
        <f t="shared" si="5"/>
        <v>Biologia - DNA</v>
      </c>
    </row>
    <row r="183" spans="1:7" x14ac:dyDescent="0.25">
      <c r="A183" t="s">
        <v>197</v>
      </c>
      <c r="B183" t="s">
        <v>211</v>
      </c>
      <c r="D183" t="s">
        <v>214</v>
      </c>
      <c r="E183" t="s">
        <v>8</v>
      </c>
      <c r="F183" t="str">
        <f t="shared" si="4"/>
        <v>Bi</v>
      </c>
      <c r="G183" t="str">
        <f t="shared" si="5"/>
        <v>Biologia - RNA</v>
      </c>
    </row>
    <row r="184" spans="1:7" x14ac:dyDescent="0.25">
      <c r="A184" t="s">
        <v>197</v>
      </c>
      <c r="B184" t="s">
        <v>211</v>
      </c>
      <c r="D184" t="s">
        <v>215</v>
      </c>
      <c r="E184" t="s">
        <v>8</v>
      </c>
      <c r="F184" t="str">
        <f t="shared" si="4"/>
        <v>Bi</v>
      </c>
      <c r="G184" t="str">
        <f t="shared" si="5"/>
        <v>Biologia - Biotecnologia</v>
      </c>
    </row>
    <row r="185" spans="1:7" x14ac:dyDescent="0.25">
      <c r="A185" t="s">
        <v>197</v>
      </c>
      <c r="B185" t="s">
        <v>211</v>
      </c>
      <c r="D185" t="s">
        <v>216</v>
      </c>
      <c r="E185" t="s">
        <v>8</v>
      </c>
      <c r="F185" t="str">
        <f t="shared" si="4"/>
        <v>Bi</v>
      </c>
      <c r="G185" t="str">
        <f t="shared" si="5"/>
        <v>Biologia - Engenharia genética</v>
      </c>
    </row>
    <row r="186" spans="1:7" x14ac:dyDescent="0.25">
      <c r="A186" t="s">
        <v>197</v>
      </c>
      <c r="B186" t="s">
        <v>217</v>
      </c>
      <c r="D186" t="s">
        <v>218</v>
      </c>
      <c r="E186" t="s">
        <v>8</v>
      </c>
      <c r="F186" t="str">
        <f t="shared" si="4"/>
        <v>Bi</v>
      </c>
      <c r="G186" t="str">
        <f t="shared" si="5"/>
        <v>Biologia - Darwin</v>
      </c>
    </row>
    <row r="187" spans="1:7" x14ac:dyDescent="0.25">
      <c r="A187" t="s">
        <v>197</v>
      </c>
      <c r="B187" t="s">
        <v>217</v>
      </c>
      <c r="D187" t="s">
        <v>219</v>
      </c>
      <c r="E187" t="s">
        <v>8</v>
      </c>
      <c r="F187" t="str">
        <f t="shared" si="4"/>
        <v>Bi</v>
      </c>
      <c r="G187" t="str">
        <f t="shared" si="5"/>
        <v>Biologia - Lamarck</v>
      </c>
    </row>
    <row r="188" spans="1:7" x14ac:dyDescent="0.25">
      <c r="A188" t="s">
        <v>197</v>
      </c>
      <c r="B188" t="s">
        <v>217</v>
      </c>
      <c r="D188" t="s">
        <v>220</v>
      </c>
      <c r="E188" t="s">
        <v>8</v>
      </c>
      <c r="F188" t="str">
        <f t="shared" si="4"/>
        <v>Bi</v>
      </c>
      <c r="G188" t="str">
        <f t="shared" si="5"/>
        <v>Biologia - Seleção natural</v>
      </c>
    </row>
    <row r="189" spans="1:7" x14ac:dyDescent="0.25">
      <c r="A189" t="s">
        <v>197</v>
      </c>
      <c r="B189" t="s">
        <v>217</v>
      </c>
      <c r="D189" t="s">
        <v>221</v>
      </c>
      <c r="E189" t="s">
        <v>8</v>
      </c>
      <c r="F189" t="str">
        <f t="shared" si="4"/>
        <v>Bi</v>
      </c>
      <c r="G189" t="str">
        <f t="shared" si="5"/>
        <v>Biologia - Especiação</v>
      </c>
    </row>
    <row r="190" spans="1:7" x14ac:dyDescent="0.25">
      <c r="A190" t="s">
        <v>197</v>
      </c>
      <c r="B190" t="s">
        <v>222</v>
      </c>
      <c r="D190" t="s">
        <v>223</v>
      </c>
      <c r="E190" t="s">
        <v>8</v>
      </c>
      <c r="F190" t="str">
        <f t="shared" si="4"/>
        <v>Bi</v>
      </c>
      <c r="G190" t="str">
        <f t="shared" si="5"/>
        <v>Biologia - Cadeias alimentares</v>
      </c>
    </row>
    <row r="191" spans="1:7" x14ac:dyDescent="0.25">
      <c r="A191" t="s">
        <v>197</v>
      </c>
      <c r="B191" t="s">
        <v>222</v>
      </c>
      <c r="D191" t="s">
        <v>195</v>
      </c>
      <c r="E191" t="s">
        <v>8</v>
      </c>
      <c r="F191" t="str">
        <f t="shared" si="4"/>
        <v>Bi</v>
      </c>
      <c r="G191" t="str">
        <f t="shared" si="5"/>
        <v>Biologia - Ciclos biogeoquímicos</v>
      </c>
    </row>
    <row r="192" spans="1:7" x14ac:dyDescent="0.25">
      <c r="A192" t="s">
        <v>197</v>
      </c>
      <c r="B192" t="s">
        <v>222</v>
      </c>
      <c r="D192" t="s">
        <v>224</v>
      </c>
      <c r="E192" t="s">
        <v>8</v>
      </c>
      <c r="F192" t="str">
        <f t="shared" si="4"/>
        <v>Bi</v>
      </c>
      <c r="G192" t="str">
        <f t="shared" si="5"/>
        <v>Biologia - Biomas</v>
      </c>
    </row>
    <row r="193" spans="1:7" x14ac:dyDescent="0.25">
      <c r="A193" t="s">
        <v>197</v>
      </c>
      <c r="B193" t="s">
        <v>222</v>
      </c>
      <c r="D193" t="s">
        <v>225</v>
      </c>
      <c r="E193" t="s">
        <v>8</v>
      </c>
      <c r="F193" t="str">
        <f t="shared" si="4"/>
        <v>Bi</v>
      </c>
      <c r="G193" t="str">
        <f t="shared" si="5"/>
        <v>Biologia - Relações ecológicas</v>
      </c>
    </row>
    <row r="194" spans="1:7" x14ac:dyDescent="0.25">
      <c r="A194" t="s">
        <v>197</v>
      </c>
      <c r="B194" t="s">
        <v>222</v>
      </c>
      <c r="D194" t="s">
        <v>226</v>
      </c>
      <c r="E194" t="s">
        <v>8</v>
      </c>
      <c r="F194" t="str">
        <f t="shared" si="4"/>
        <v>Bi</v>
      </c>
      <c r="G194" t="str">
        <f t="shared" si="5"/>
        <v>Biologia - Impactos ambientais</v>
      </c>
    </row>
    <row r="195" spans="1:7" x14ac:dyDescent="0.25">
      <c r="A195" t="s">
        <v>197</v>
      </c>
      <c r="B195" t="s">
        <v>227</v>
      </c>
      <c r="D195" t="s">
        <v>228</v>
      </c>
      <c r="E195" t="s">
        <v>8</v>
      </c>
      <c r="F195" t="str">
        <f t="shared" ref="F195:F258" si="6">LEFT(A195,2)</f>
        <v>Bi</v>
      </c>
      <c r="G195" t="str">
        <f t="shared" ref="G195:G258" si="7">A195&amp;" - "&amp;D195</f>
        <v>Biologia - Sistema digestório</v>
      </c>
    </row>
    <row r="196" spans="1:7" x14ac:dyDescent="0.25">
      <c r="A196" t="s">
        <v>197</v>
      </c>
      <c r="B196" t="s">
        <v>227</v>
      </c>
      <c r="D196" t="s">
        <v>229</v>
      </c>
      <c r="E196" t="s">
        <v>8</v>
      </c>
      <c r="F196" t="str">
        <f t="shared" si="6"/>
        <v>Bi</v>
      </c>
      <c r="G196" t="str">
        <f t="shared" si="7"/>
        <v>Biologia - Sistema respiratório</v>
      </c>
    </row>
    <row r="197" spans="1:7" x14ac:dyDescent="0.25">
      <c r="A197" t="s">
        <v>197</v>
      </c>
      <c r="B197" t="s">
        <v>227</v>
      </c>
      <c r="D197" t="s">
        <v>230</v>
      </c>
      <c r="E197" t="s">
        <v>8</v>
      </c>
      <c r="F197" t="str">
        <f t="shared" si="6"/>
        <v>Bi</v>
      </c>
      <c r="G197" t="str">
        <f t="shared" si="7"/>
        <v>Biologia - Sistema circulatório</v>
      </c>
    </row>
    <row r="198" spans="1:7" x14ac:dyDescent="0.25">
      <c r="A198" t="s">
        <v>197</v>
      </c>
      <c r="B198" t="s">
        <v>227</v>
      </c>
      <c r="D198" t="s">
        <v>231</v>
      </c>
      <c r="E198" t="s">
        <v>8</v>
      </c>
      <c r="F198" t="str">
        <f t="shared" si="6"/>
        <v>Bi</v>
      </c>
      <c r="G198" t="str">
        <f t="shared" si="7"/>
        <v>Biologia - Sistema nervoso</v>
      </c>
    </row>
    <row r="199" spans="1:7" x14ac:dyDescent="0.25">
      <c r="A199" t="s">
        <v>197</v>
      </c>
      <c r="B199" t="s">
        <v>227</v>
      </c>
      <c r="D199" t="s">
        <v>232</v>
      </c>
      <c r="E199" t="s">
        <v>8</v>
      </c>
      <c r="F199" t="str">
        <f t="shared" si="6"/>
        <v>Bi</v>
      </c>
      <c r="G199" t="str">
        <f t="shared" si="7"/>
        <v>Biologia - Sistema endócrino</v>
      </c>
    </row>
    <row r="200" spans="1:7" x14ac:dyDescent="0.25">
      <c r="A200" t="s">
        <v>197</v>
      </c>
      <c r="B200" t="s">
        <v>227</v>
      </c>
      <c r="D200" t="s">
        <v>233</v>
      </c>
      <c r="E200" t="s">
        <v>8</v>
      </c>
      <c r="F200" t="str">
        <f t="shared" si="6"/>
        <v>Bi</v>
      </c>
      <c r="G200" t="str">
        <f t="shared" si="7"/>
        <v>Biologia - Sistema excretor</v>
      </c>
    </row>
    <row r="201" spans="1:7" x14ac:dyDescent="0.25">
      <c r="A201" t="s">
        <v>197</v>
      </c>
      <c r="B201" t="s">
        <v>227</v>
      </c>
      <c r="D201" t="s">
        <v>234</v>
      </c>
      <c r="E201" t="s">
        <v>8</v>
      </c>
      <c r="F201" t="str">
        <f t="shared" si="6"/>
        <v>Bi</v>
      </c>
      <c r="G201" t="str">
        <f t="shared" si="7"/>
        <v>Biologia - Sistema reprodutor</v>
      </c>
    </row>
    <row r="202" spans="1:7" x14ac:dyDescent="0.25">
      <c r="A202" t="s">
        <v>197</v>
      </c>
      <c r="B202" t="s">
        <v>227</v>
      </c>
      <c r="D202" t="s">
        <v>235</v>
      </c>
      <c r="E202" t="s">
        <v>8</v>
      </c>
      <c r="F202" t="str">
        <f t="shared" si="6"/>
        <v>Bi</v>
      </c>
      <c r="G202" t="str">
        <f t="shared" si="7"/>
        <v>Biologia - Imunologia</v>
      </c>
    </row>
    <row r="203" spans="1:7" x14ac:dyDescent="0.25">
      <c r="A203" t="s">
        <v>197</v>
      </c>
      <c r="B203" t="s">
        <v>236</v>
      </c>
      <c r="D203" t="s">
        <v>237</v>
      </c>
      <c r="E203" t="s">
        <v>8</v>
      </c>
      <c r="F203" t="str">
        <f t="shared" si="6"/>
        <v>Bi</v>
      </c>
      <c r="G203" t="str">
        <f t="shared" si="7"/>
        <v>Biologia - Tecidos vegetais</v>
      </c>
    </row>
    <row r="204" spans="1:7" x14ac:dyDescent="0.25">
      <c r="A204" t="s">
        <v>197</v>
      </c>
      <c r="B204" t="s">
        <v>236</v>
      </c>
      <c r="D204" t="s">
        <v>238</v>
      </c>
      <c r="E204" t="s">
        <v>8</v>
      </c>
      <c r="F204" t="str">
        <f t="shared" si="6"/>
        <v>Bi</v>
      </c>
      <c r="G204" t="str">
        <f t="shared" si="7"/>
        <v>Biologia - Fotossíntese</v>
      </c>
    </row>
    <row r="205" spans="1:7" x14ac:dyDescent="0.25">
      <c r="A205" t="s">
        <v>197</v>
      </c>
      <c r="B205" t="s">
        <v>236</v>
      </c>
      <c r="D205" t="s">
        <v>239</v>
      </c>
      <c r="E205" t="s">
        <v>8</v>
      </c>
      <c r="F205" t="str">
        <f t="shared" si="6"/>
        <v>Bi</v>
      </c>
      <c r="G205" t="str">
        <f t="shared" si="7"/>
        <v>Biologia - Hormônios vegetais</v>
      </c>
    </row>
    <row r="206" spans="1:7" x14ac:dyDescent="0.25">
      <c r="A206" t="s">
        <v>197</v>
      </c>
      <c r="B206" t="s">
        <v>240</v>
      </c>
      <c r="D206" t="s">
        <v>241</v>
      </c>
      <c r="E206" t="s">
        <v>8</v>
      </c>
      <c r="F206" t="str">
        <f t="shared" si="6"/>
        <v>Bi</v>
      </c>
      <c r="G206" t="str">
        <f t="shared" si="7"/>
        <v>Biologia - Invertebrados</v>
      </c>
    </row>
    <row r="207" spans="1:7" x14ac:dyDescent="0.25">
      <c r="A207" t="s">
        <v>197</v>
      </c>
      <c r="B207" t="s">
        <v>240</v>
      </c>
      <c r="D207" t="s">
        <v>242</v>
      </c>
      <c r="E207" t="s">
        <v>8</v>
      </c>
      <c r="F207" t="str">
        <f t="shared" si="6"/>
        <v>Bi</v>
      </c>
      <c r="G207" t="str">
        <f t="shared" si="7"/>
        <v>Biologia - Vertebrados</v>
      </c>
    </row>
    <row r="208" spans="1:7" x14ac:dyDescent="0.25">
      <c r="A208" t="s">
        <v>243</v>
      </c>
      <c r="B208" t="s">
        <v>244</v>
      </c>
      <c r="D208" t="s">
        <v>245</v>
      </c>
      <c r="E208" t="s">
        <v>369</v>
      </c>
      <c r="F208" t="str">
        <f t="shared" si="6"/>
        <v>Po</v>
      </c>
      <c r="G208" t="str">
        <f t="shared" si="7"/>
        <v>Português - Classes gramaticais</v>
      </c>
    </row>
    <row r="209" spans="1:7" x14ac:dyDescent="0.25">
      <c r="A209" t="s">
        <v>243</v>
      </c>
      <c r="B209" t="s">
        <v>244</v>
      </c>
      <c r="D209" t="s">
        <v>246</v>
      </c>
      <c r="E209" t="s">
        <v>8</v>
      </c>
      <c r="F209" t="str">
        <f t="shared" si="6"/>
        <v>Po</v>
      </c>
      <c r="G209" t="str">
        <f t="shared" si="7"/>
        <v>Português - Sintaxe</v>
      </c>
    </row>
    <row r="210" spans="1:7" x14ac:dyDescent="0.25">
      <c r="A210" t="s">
        <v>243</v>
      </c>
      <c r="B210" t="s">
        <v>244</v>
      </c>
      <c r="D210" t="s">
        <v>247</v>
      </c>
      <c r="E210" t="s">
        <v>8</v>
      </c>
      <c r="F210" t="str">
        <f t="shared" si="6"/>
        <v>Po</v>
      </c>
      <c r="G210" t="str">
        <f t="shared" si="7"/>
        <v>Português - Concordância</v>
      </c>
    </row>
    <row r="211" spans="1:7" x14ac:dyDescent="0.25">
      <c r="A211" t="s">
        <v>243</v>
      </c>
      <c r="B211" t="s">
        <v>244</v>
      </c>
      <c r="D211" t="s">
        <v>248</v>
      </c>
      <c r="E211" t="s">
        <v>8</v>
      </c>
      <c r="F211" t="str">
        <f t="shared" si="6"/>
        <v>Po</v>
      </c>
      <c r="G211" t="str">
        <f t="shared" si="7"/>
        <v>Português - Regência</v>
      </c>
    </row>
    <row r="212" spans="1:7" x14ac:dyDescent="0.25">
      <c r="A212" t="s">
        <v>243</v>
      </c>
      <c r="B212" t="s">
        <v>244</v>
      </c>
      <c r="D212" t="s">
        <v>249</v>
      </c>
      <c r="E212" t="s">
        <v>8</v>
      </c>
      <c r="F212" t="str">
        <f t="shared" si="6"/>
        <v>Po</v>
      </c>
      <c r="G212" t="str">
        <f t="shared" si="7"/>
        <v>Português - Crase</v>
      </c>
    </row>
    <row r="213" spans="1:7" x14ac:dyDescent="0.25">
      <c r="A213" t="s">
        <v>243</v>
      </c>
      <c r="B213" t="s">
        <v>244</v>
      </c>
      <c r="D213" t="s">
        <v>250</v>
      </c>
      <c r="E213" t="s">
        <v>8</v>
      </c>
      <c r="F213" t="str">
        <f t="shared" si="6"/>
        <v>Po</v>
      </c>
      <c r="G213" t="str">
        <f t="shared" si="7"/>
        <v>Português - Colocação pronominal</v>
      </c>
    </row>
    <row r="214" spans="1:7" x14ac:dyDescent="0.25">
      <c r="A214" t="s">
        <v>243</v>
      </c>
      <c r="B214" t="s">
        <v>244</v>
      </c>
      <c r="D214" t="s">
        <v>251</v>
      </c>
      <c r="E214" t="s">
        <v>8</v>
      </c>
      <c r="F214" t="str">
        <f t="shared" si="6"/>
        <v>Po</v>
      </c>
      <c r="G214" t="str">
        <f t="shared" si="7"/>
        <v>Português - Pontuação</v>
      </c>
    </row>
    <row r="215" spans="1:7" x14ac:dyDescent="0.25">
      <c r="A215" t="s">
        <v>243</v>
      </c>
      <c r="B215" t="s">
        <v>252</v>
      </c>
      <c r="D215" t="s">
        <v>253</v>
      </c>
      <c r="E215" t="s">
        <v>8</v>
      </c>
      <c r="F215" t="str">
        <f t="shared" si="6"/>
        <v>Po</v>
      </c>
      <c r="G215" t="str">
        <f t="shared" si="7"/>
        <v>Português - Tipos textuais</v>
      </c>
    </row>
    <row r="216" spans="1:7" x14ac:dyDescent="0.25">
      <c r="A216" t="s">
        <v>243</v>
      </c>
      <c r="B216" t="s">
        <v>252</v>
      </c>
      <c r="D216" t="s">
        <v>254</v>
      </c>
      <c r="E216" t="s">
        <v>8</v>
      </c>
      <c r="F216" t="str">
        <f t="shared" si="6"/>
        <v>Po</v>
      </c>
      <c r="G216" t="str">
        <f t="shared" si="7"/>
        <v>Português - Gêneros textuais</v>
      </c>
    </row>
    <row r="217" spans="1:7" x14ac:dyDescent="0.25">
      <c r="A217" t="s">
        <v>243</v>
      </c>
      <c r="B217" t="s">
        <v>252</v>
      </c>
      <c r="D217" t="s">
        <v>255</v>
      </c>
      <c r="E217" t="s">
        <v>8</v>
      </c>
      <c r="F217" t="str">
        <f t="shared" si="6"/>
        <v>Po</v>
      </c>
      <c r="G217" t="str">
        <f t="shared" si="7"/>
        <v>Português - Coesão</v>
      </c>
    </row>
    <row r="218" spans="1:7" x14ac:dyDescent="0.25">
      <c r="A218" t="s">
        <v>243</v>
      </c>
      <c r="B218" t="s">
        <v>252</v>
      </c>
      <c r="D218" t="s">
        <v>256</v>
      </c>
      <c r="E218" t="s">
        <v>8</v>
      </c>
      <c r="F218" t="str">
        <f t="shared" si="6"/>
        <v>Po</v>
      </c>
      <c r="G218" t="str">
        <f t="shared" si="7"/>
        <v>Português - Coerência</v>
      </c>
    </row>
    <row r="219" spans="1:7" x14ac:dyDescent="0.25">
      <c r="A219" t="s">
        <v>243</v>
      </c>
      <c r="B219" t="s">
        <v>252</v>
      </c>
      <c r="D219" t="s">
        <v>257</v>
      </c>
      <c r="E219" t="s">
        <v>8</v>
      </c>
      <c r="F219" t="str">
        <f t="shared" si="6"/>
        <v>Po</v>
      </c>
      <c r="G219" t="str">
        <f t="shared" si="7"/>
        <v>Português - Figuras de linguagem</v>
      </c>
    </row>
    <row r="220" spans="1:7" x14ac:dyDescent="0.25">
      <c r="A220" t="s">
        <v>243</v>
      </c>
      <c r="B220" t="s">
        <v>252</v>
      </c>
      <c r="D220" t="s">
        <v>258</v>
      </c>
      <c r="E220" t="s">
        <v>8</v>
      </c>
      <c r="F220" t="str">
        <f t="shared" si="6"/>
        <v>Po</v>
      </c>
      <c r="G220" t="str">
        <f t="shared" si="7"/>
        <v>Português - Funções da linguagem</v>
      </c>
    </row>
    <row r="221" spans="1:7" x14ac:dyDescent="0.25">
      <c r="A221" t="s">
        <v>243</v>
      </c>
      <c r="B221" t="s">
        <v>259</v>
      </c>
      <c r="D221" t="s">
        <v>260</v>
      </c>
      <c r="E221" t="s">
        <v>8</v>
      </c>
      <c r="F221" t="str">
        <f t="shared" si="6"/>
        <v>Po</v>
      </c>
      <c r="G221" t="str">
        <f t="shared" si="7"/>
        <v>Português - Trovadorismo</v>
      </c>
    </row>
    <row r="222" spans="1:7" x14ac:dyDescent="0.25">
      <c r="A222" t="s">
        <v>243</v>
      </c>
      <c r="B222" t="s">
        <v>259</v>
      </c>
      <c r="D222" t="s">
        <v>261</v>
      </c>
      <c r="E222" t="s">
        <v>8</v>
      </c>
      <c r="F222" t="str">
        <f t="shared" si="6"/>
        <v>Po</v>
      </c>
      <c r="G222" t="str">
        <f t="shared" si="7"/>
        <v>Português - Humanismo</v>
      </c>
    </row>
    <row r="223" spans="1:7" x14ac:dyDescent="0.25">
      <c r="A223" t="s">
        <v>243</v>
      </c>
      <c r="B223" t="s">
        <v>259</v>
      </c>
      <c r="D223" t="s">
        <v>262</v>
      </c>
      <c r="E223" t="s">
        <v>8</v>
      </c>
      <c r="F223" t="str">
        <f t="shared" si="6"/>
        <v>Po</v>
      </c>
      <c r="G223" t="str">
        <f t="shared" si="7"/>
        <v>Português - Classicismo</v>
      </c>
    </row>
    <row r="224" spans="1:7" x14ac:dyDescent="0.25">
      <c r="A224" t="s">
        <v>243</v>
      </c>
      <c r="B224" t="s">
        <v>259</v>
      </c>
      <c r="D224" t="s">
        <v>263</v>
      </c>
      <c r="E224" t="s">
        <v>8</v>
      </c>
      <c r="F224" t="str">
        <f t="shared" si="6"/>
        <v>Po</v>
      </c>
      <c r="G224" t="str">
        <f t="shared" si="7"/>
        <v>Português - Barroco</v>
      </c>
    </row>
    <row r="225" spans="1:7" x14ac:dyDescent="0.25">
      <c r="A225" t="s">
        <v>243</v>
      </c>
      <c r="B225" t="s">
        <v>259</v>
      </c>
      <c r="D225" t="s">
        <v>264</v>
      </c>
      <c r="E225" t="s">
        <v>8</v>
      </c>
      <c r="F225" t="str">
        <f t="shared" si="6"/>
        <v>Po</v>
      </c>
      <c r="G225" t="str">
        <f t="shared" si="7"/>
        <v>Português - Arcadismo</v>
      </c>
    </row>
    <row r="226" spans="1:7" x14ac:dyDescent="0.25">
      <c r="A226" t="s">
        <v>243</v>
      </c>
      <c r="B226" t="s">
        <v>259</v>
      </c>
      <c r="D226" t="s">
        <v>265</v>
      </c>
      <c r="E226" t="s">
        <v>8</v>
      </c>
      <c r="F226" t="str">
        <f t="shared" si="6"/>
        <v>Po</v>
      </c>
      <c r="G226" t="str">
        <f t="shared" si="7"/>
        <v>Português - Romantismo</v>
      </c>
    </row>
    <row r="227" spans="1:7" x14ac:dyDescent="0.25">
      <c r="A227" t="s">
        <v>243</v>
      </c>
      <c r="B227" t="s">
        <v>259</v>
      </c>
      <c r="D227" t="s">
        <v>266</v>
      </c>
      <c r="E227" t="s">
        <v>8</v>
      </c>
      <c r="F227" t="str">
        <f t="shared" si="6"/>
        <v>Po</v>
      </c>
      <c r="G227" t="str">
        <f t="shared" si="7"/>
        <v>Português - Realismo</v>
      </c>
    </row>
    <row r="228" spans="1:7" x14ac:dyDescent="0.25">
      <c r="A228" t="s">
        <v>243</v>
      </c>
      <c r="B228" t="s">
        <v>259</v>
      </c>
      <c r="D228" t="s">
        <v>267</v>
      </c>
      <c r="E228" t="s">
        <v>8</v>
      </c>
      <c r="F228" t="str">
        <f t="shared" si="6"/>
        <v>Po</v>
      </c>
      <c r="G228" t="str">
        <f t="shared" si="7"/>
        <v>Português - Naturalismo</v>
      </c>
    </row>
    <row r="229" spans="1:7" x14ac:dyDescent="0.25">
      <c r="A229" t="s">
        <v>243</v>
      </c>
      <c r="B229" t="s">
        <v>259</v>
      </c>
      <c r="D229" t="s">
        <v>268</v>
      </c>
      <c r="E229" t="s">
        <v>8</v>
      </c>
      <c r="F229" t="str">
        <f t="shared" si="6"/>
        <v>Po</v>
      </c>
      <c r="G229" t="str">
        <f t="shared" si="7"/>
        <v>Português - Parnasianismo</v>
      </c>
    </row>
    <row r="230" spans="1:7" x14ac:dyDescent="0.25">
      <c r="A230" t="s">
        <v>243</v>
      </c>
      <c r="B230" t="s">
        <v>259</v>
      </c>
      <c r="D230" t="s">
        <v>269</v>
      </c>
      <c r="E230" t="s">
        <v>8</v>
      </c>
      <c r="F230" t="str">
        <f t="shared" si="6"/>
        <v>Po</v>
      </c>
      <c r="G230" t="str">
        <f t="shared" si="7"/>
        <v>Português - Simbolismo</v>
      </c>
    </row>
    <row r="231" spans="1:7" x14ac:dyDescent="0.25">
      <c r="A231" t="s">
        <v>243</v>
      </c>
      <c r="B231" t="s">
        <v>259</v>
      </c>
      <c r="D231" t="s">
        <v>270</v>
      </c>
      <c r="E231" t="s">
        <v>8</v>
      </c>
      <c r="F231" t="str">
        <f t="shared" si="6"/>
        <v>Po</v>
      </c>
      <c r="G231" t="str">
        <f t="shared" si="7"/>
        <v>Português - Pré-modernismo</v>
      </c>
    </row>
    <row r="232" spans="1:7" x14ac:dyDescent="0.25">
      <c r="A232" t="s">
        <v>243</v>
      </c>
      <c r="B232" t="s">
        <v>259</v>
      </c>
      <c r="D232" t="s">
        <v>271</v>
      </c>
      <c r="E232" t="s">
        <v>8</v>
      </c>
      <c r="F232" t="str">
        <f t="shared" si="6"/>
        <v>Po</v>
      </c>
      <c r="G232" t="str">
        <f t="shared" si="7"/>
        <v>Português - Modernismo</v>
      </c>
    </row>
    <row r="233" spans="1:7" x14ac:dyDescent="0.25">
      <c r="A233" t="s">
        <v>243</v>
      </c>
      <c r="B233" t="s">
        <v>259</v>
      </c>
      <c r="D233" t="s">
        <v>272</v>
      </c>
      <c r="E233" t="s">
        <v>8</v>
      </c>
      <c r="F233" t="str">
        <f t="shared" si="6"/>
        <v>Po</v>
      </c>
      <c r="G233" t="str">
        <f t="shared" si="7"/>
        <v>Português - Literatura contemporânea</v>
      </c>
    </row>
    <row r="234" spans="1:7" x14ac:dyDescent="0.25">
      <c r="A234" t="s">
        <v>273</v>
      </c>
      <c r="D234" t="s">
        <v>274</v>
      </c>
      <c r="E234" t="s">
        <v>8</v>
      </c>
      <c r="F234" t="str">
        <f t="shared" si="6"/>
        <v>Re</v>
      </c>
      <c r="G234" t="str">
        <f t="shared" si="7"/>
        <v>Redação - Estrutura dissertativa-argumentativa</v>
      </c>
    </row>
    <row r="235" spans="1:7" x14ac:dyDescent="0.25">
      <c r="A235" t="s">
        <v>273</v>
      </c>
      <c r="D235" t="s">
        <v>275</v>
      </c>
      <c r="E235" t="s">
        <v>8</v>
      </c>
      <c r="F235" t="str">
        <f t="shared" si="6"/>
        <v>Re</v>
      </c>
      <c r="G235" t="str">
        <f t="shared" si="7"/>
        <v>Redação - Competência 1</v>
      </c>
    </row>
    <row r="236" spans="1:7" x14ac:dyDescent="0.25">
      <c r="A236" t="s">
        <v>273</v>
      </c>
      <c r="D236" t="s">
        <v>276</v>
      </c>
      <c r="E236" t="s">
        <v>8</v>
      </c>
      <c r="F236" t="str">
        <f t="shared" si="6"/>
        <v>Re</v>
      </c>
      <c r="G236" t="str">
        <f t="shared" si="7"/>
        <v>Redação - Competência 2</v>
      </c>
    </row>
    <row r="237" spans="1:7" x14ac:dyDescent="0.25">
      <c r="A237" t="s">
        <v>273</v>
      </c>
      <c r="D237" t="s">
        <v>277</v>
      </c>
      <c r="E237" t="s">
        <v>8</v>
      </c>
      <c r="F237" t="str">
        <f t="shared" si="6"/>
        <v>Re</v>
      </c>
      <c r="G237" t="str">
        <f t="shared" si="7"/>
        <v>Redação - Competência 3</v>
      </c>
    </row>
    <row r="238" spans="1:7" x14ac:dyDescent="0.25">
      <c r="A238" t="s">
        <v>273</v>
      </c>
      <c r="D238" t="s">
        <v>278</v>
      </c>
      <c r="E238" t="s">
        <v>8</v>
      </c>
      <c r="F238" t="str">
        <f t="shared" si="6"/>
        <v>Re</v>
      </c>
      <c r="G238" t="str">
        <f t="shared" si="7"/>
        <v>Redação - Competência 4</v>
      </c>
    </row>
    <row r="239" spans="1:7" x14ac:dyDescent="0.25">
      <c r="A239" t="s">
        <v>273</v>
      </c>
      <c r="D239" t="s">
        <v>279</v>
      </c>
      <c r="E239" t="s">
        <v>8</v>
      </c>
      <c r="F239" t="str">
        <f t="shared" si="6"/>
        <v>Re</v>
      </c>
      <c r="G239" t="str">
        <f t="shared" si="7"/>
        <v>Redação - Competência 5</v>
      </c>
    </row>
    <row r="240" spans="1:7" x14ac:dyDescent="0.25">
      <c r="A240" t="s">
        <v>273</v>
      </c>
      <c r="D240" t="s">
        <v>280</v>
      </c>
      <c r="E240" t="s">
        <v>8</v>
      </c>
      <c r="F240" t="str">
        <f t="shared" si="6"/>
        <v>Re</v>
      </c>
      <c r="G240" t="str">
        <f t="shared" si="7"/>
        <v>Redação - Projeto de texto</v>
      </c>
    </row>
    <row r="241" spans="1:7" x14ac:dyDescent="0.25">
      <c r="A241" t="s">
        <v>273</v>
      </c>
      <c r="D241" t="s">
        <v>281</v>
      </c>
      <c r="E241" t="s">
        <v>8</v>
      </c>
      <c r="F241" t="str">
        <f t="shared" si="6"/>
        <v>Re</v>
      </c>
      <c r="G241" t="str">
        <f t="shared" si="7"/>
        <v>Redação - Repertório sociocultural</v>
      </c>
    </row>
    <row r="242" spans="1:7" x14ac:dyDescent="0.25">
      <c r="A242" t="s">
        <v>273</v>
      </c>
      <c r="D242" t="s">
        <v>282</v>
      </c>
      <c r="E242" t="s">
        <v>8</v>
      </c>
      <c r="F242" t="str">
        <f t="shared" si="6"/>
        <v>Re</v>
      </c>
      <c r="G242" t="str">
        <f t="shared" si="7"/>
        <v>Redação - Argumentação</v>
      </c>
    </row>
    <row r="243" spans="1:7" x14ac:dyDescent="0.25">
      <c r="A243" t="s">
        <v>273</v>
      </c>
      <c r="D243" t="s">
        <v>283</v>
      </c>
      <c r="E243" t="s">
        <v>8</v>
      </c>
      <c r="F243" t="str">
        <f t="shared" si="6"/>
        <v>Re</v>
      </c>
      <c r="G243" t="str">
        <f t="shared" si="7"/>
        <v>Redação - Proposta de intervenção</v>
      </c>
    </row>
    <row r="244" spans="1:7" x14ac:dyDescent="0.25">
      <c r="A244" t="s">
        <v>273</v>
      </c>
      <c r="D244" t="s">
        <v>284</v>
      </c>
      <c r="E244" t="s">
        <v>8</v>
      </c>
      <c r="F244" t="str">
        <f t="shared" si="6"/>
        <v>Re</v>
      </c>
      <c r="G244" t="str">
        <f t="shared" si="7"/>
        <v>Redação - Conectivos</v>
      </c>
    </row>
    <row r="245" spans="1:7" x14ac:dyDescent="0.25">
      <c r="A245" t="s">
        <v>273</v>
      </c>
      <c r="D245" t="s">
        <v>285</v>
      </c>
      <c r="E245" t="s">
        <v>8</v>
      </c>
      <c r="F245" t="str">
        <f t="shared" si="6"/>
        <v>Re</v>
      </c>
      <c r="G245" t="str">
        <f t="shared" si="7"/>
        <v>Redação - Planejamento</v>
      </c>
    </row>
    <row r="246" spans="1:7" x14ac:dyDescent="0.25">
      <c r="A246" t="s">
        <v>273</v>
      </c>
      <c r="D246" t="s">
        <v>286</v>
      </c>
      <c r="E246" t="s">
        <v>8</v>
      </c>
      <c r="F246" t="str">
        <f t="shared" si="6"/>
        <v>Re</v>
      </c>
      <c r="G246" t="str">
        <f t="shared" si="7"/>
        <v>Redação - Revisão</v>
      </c>
    </row>
    <row r="247" spans="1:7" x14ac:dyDescent="0.25">
      <c r="A247" t="s">
        <v>287</v>
      </c>
      <c r="B247" t="s">
        <v>288</v>
      </c>
      <c r="D247" t="s">
        <v>289</v>
      </c>
      <c r="E247" t="s">
        <v>8</v>
      </c>
      <c r="F247" t="str">
        <f t="shared" si="6"/>
        <v>Hi</v>
      </c>
      <c r="G247" t="str">
        <f t="shared" si="7"/>
        <v>História - Antiguidade</v>
      </c>
    </row>
    <row r="248" spans="1:7" x14ac:dyDescent="0.25">
      <c r="A248" t="s">
        <v>287</v>
      </c>
      <c r="B248" t="s">
        <v>288</v>
      </c>
      <c r="D248" t="s">
        <v>290</v>
      </c>
      <c r="E248" t="s">
        <v>8</v>
      </c>
      <c r="F248" t="str">
        <f t="shared" si="6"/>
        <v>Hi</v>
      </c>
      <c r="G248" t="str">
        <f t="shared" si="7"/>
        <v>História - Idade Média</v>
      </c>
    </row>
    <row r="249" spans="1:7" x14ac:dyDescent="0.25">
      <c r="A249" t="s">
        <v>287</v>
      </c>
      <c r="B249" t="s">
        <v>288</v>
      </c>
      <c r="D249" t="s">
        <v>291</v>
      </c>
      <c r="E249" t="s">
        <v>8</v>
      </c>
      <c r="F249" t="str">
        <f t="shared" si="6"/>
        <v>Hi</v>
      </c>
      <c r="G249" t="str">
        <f t="shared" si="7"/>
        <v>História - Idade Moderna</v>
      </c>
    </row>
    <row r="250" spans="1:7" x14ac:dyDescent="0.25">
      <c r="A250" t="s">
        <v>287</v>
      </c>
      <c r="B250" t="s">
        <v>288</v>
      </c>
      <c r="D250" t="s">
        <v>292</v>
      </c>
      <c r="E250" t="s">
        <v>8</v>
      </c>
      <c r="F250" t="str">
        <f t="shared" si="6"/>
        <v>Hi</v>
      </c>
      <c r="G250" t="str">
        <f t="shared" si="7"/>
        <v>História - Idade Contemporânea</v>
      </c>
    </row>
    <row r="251" spans="1:7" x14ac:dyDescent="0.25">
      <c r="A251" t="s">
        <v>287</v>
      </c>
      <c r="B251" t="s">
        <v>288</v>
      </c>
      <c r="D251" t="s">
        <v>293</v>
      </c>
      <c r="E251" t="s">
        <v>8</v>
      </c>
      <c r="F251" t="str">
        <f t="shared" si="6"/>
        <v>Hi</v>
      </c>
      <c r="G251" t="str">
        <f t="shared" si="7"/>
        <v>História - Revoluções</v>
      </c>
    </row>
    <row r="252" spans="1:7" x14ac:dyDescent="0.25">
      <c r="A252" t="s">
        <v>287</v>
      </c>
      <c r="B252" t="s">
        <v>288</v>
      </c>
      <c r="D252" t="s">
        <v>294</v>
      </c>
      <c r="E252" t="s">
        <v>8</v>
      </c>
      <c r="F252" t="str">
        <f t="shared" si="6"/>
        <v>Hi</v>
      </c>
      <c r="G252" t="str">
        <f t="shared" si="7"/>
        <v>História - Guerras Mundiais</v>
      </c>
    </row>
    <row r="253" spans="1:7" x14ac:dyDescent="0.25">
      <c r="A253" t="s">
        <v>287</v>
      </c>
      <c r="B253" t="s">
        <v>288</v>
      </c>
      <c r="D253" t="s">
        <v>295</v>
      </c>
      <c r="E253" t="s">
        <v>8</v>
      </c>
      <c r="F253" t="str">
        <f t="shared" si="6"/>
        <v>Hi</v>
      </c>
      <c r="G253" t="str">
        <f t="shared" si="7"/>
        <v>História - Guerra Fria</v>
      </c>
    </row>
    <row r="254" spans="1:7" x14ac:dyDescent="0.25">
      <c r="A254" t="s">
        <v>287</v>
      </c>
      <c r="B254" t="s">
        <v>296</v>
      </c>
      <c r="D254" t="s">
        <v>297</v>
      </c>
      <c r="E254" t="s">
        <v>8</v>
      </c>
      <c r="F254" t="str">
        <f t="shared" si="6"/>
        <v>Hi</v>
      </c>
      <c r="G254" t="str">
        <f t="shared" si="7"/>
        <v>História - Brasil Colônia</v>
      </c>
    </row>
    <row r="255" spans="1:7" x14ac:dyDescent="0.25">
      <c r="A255" t="s">
        <v>287</v>
      </c>
      <c r="B255" t="s">
        <v>296</v>
      </c>
      <c r="D255" t="s">
        <v>298</v>
      </c>
      <c r="E255" t="s">
        <v>8</v>
      </c>
      <c r="F255" t="str">
        <f t="shared" si="6"/>
        <v>Hi</v>
      </c>
      <c r="G255" t="str">
        <f t="shared" si="7"/>
        <v>História - Brasil Império</v>
      </c>
    </row>
    <row r="256" spans="1:7" x14ac:dyDescent="0.25">
      <c r="A256" t="s">
        <v>287</v>
      </c>
      <c r="B256" t="s">
        <v>296</v>
      </c>
      <c r="D256" t="s">
        <v>299</v>
      </c>
      <c r="E256" t="s">
        <v>8</v>
      </c>
      <c r="F256" t="str">
        <f t="shared" si="6"/>
        <v>Hi</v>
      </c>
      <c r="G256" t="str">
        <f t="shared" si="7"/>
        <v>História - Primeira República</v>
      </c>
    </row>
    <row r="257" spans="1:7" x14ac:dyDescent="0.25">
      <c r="A257" t="s">
        <v>287</v>
      </c>
      <c r="B257" t="s">
        <v>296</v>
      </c>
      <c r="D257" t="s">
        <v>300</v>
      </c>
      <c r="E257" t="s">
        <v>8</v>
      </c>
      <c r="F257" t="str">
        <f t="shared" si="6"/>
        <v>Hi</v>
      </c>
      <c r="G257" t="str">
        <f t="shared" si="7"/>
        <v>História - Era Vargas</v>
      </c>
    </row>
    <row r="258" spans="1:7" x14ac:dyDescent="0.25">
      <c r="A258" t="s">
        <v>287</v>
      </c>
      <c r="B258" t="s">
        <v>296</v>
      </c>
      <c r="D258" t="s">
        <v>301</v>
      </c>
      <c r="E258" t="s">
        <v>8</v>
      </c>
      <c r="F258" t="str">
        <f t="shared" si="6"/>
        <v>Hi</v>
      </c>
      <c r="G258" t="str">
        <f t="shared" si="7"/>
        <v>História - Ditadura Militar</v>
      </c>
    </row>
    <row r="259" spans="1:7" x14ac:dyDescent="0.25">
      <c r="A259" t="s">
        <v>287</v>
      </c>
      <c r="B259" t="s">
        <v>296</v>
      </c>
      <c r="D259" t="s">
        <v>302</v>
      </c>
      <c r="E259" t="s">
        <v>8</v>
      </c>
      <c r="F259" t="str">
        <f t="shared" ref="F259:F321" si="8">LEFT(A259,2)</f>
        <v>Hi</v>
      </c>
      <c r="G259" t="str">
        <f t="shared" ref="G259:G321" si="9">A259&amp;" - "&amp;D259</f>
        <v>História - Nova República</v>
      </c>
    </row>
    <row r="260" spans="1:7" x14ac:dyDescent="0.25">
      <c r="A260" t="s">
        <v>303</v>
      </c>
      <c r="B260" t="s">
        <v>304</v>
      </c>
      <c r="D260" t="s">
        <v>305</v>
      </c>
      <c r="E260" t="s">
        <v>8</v>
      </c>
      <c r="F260" t="str">
        <f t="shared" si="8"/>
        <v>Ge</v>
      </c>
      <c r="G260" t="str">
        <f t="shared" si="9"/>
        <v>Geografia - Clima</v>
      </c>
    </row>
    <row r="261" spans="1:7" x14ac:dyDescent="0.25">
      <c r="A261" t="s">
        <v>303</v>
      </c>
      <c r="B261" t="s">
        <v>304</v>
      </c>
      <c r="D261" t="s">
        <v>306</v>
      </c>
      <c r="E261" t="s">
        <v>8</v>
      </c>
      <c r="F261" t="str">
        <f t="shared" si="8"/>
        <v>Ge</v>
      </c>
      <c r="G261" t="str">
        <f t="shared" si="9"/>
        <v>Geografia - Relevo</v>
      </c>
    </row>
    <row r="262" spans="1:7" x14ac:dyDescent="0.25">
      <c r="A262" t="s">
        <v>303</v>
      </c>
      <c r="B262" t="s">
        <v>304</v>
      </c>
      <c r="D262" t="s">
        <v>307</v>
      </c>
      <c r="E262" t="s">
        <v>8</v>
      </c>
      <c r="F262" t="str">
        <f t="shared" si="8"/>
        <v>Ge</v>
      </c>
      <c r="G262" t="str">
        <f t="shared" si="9"/>
        <v>Geografia - Hidrografia</v>
      </c>
    </row>
    <row r="263" spans="1:7" x14ac:dyDescent="0.25">
      <c r="A263" t="s">
        <v>303</v>
      </c>
      <c r="B263" t="s">
        <v>304</v>
      </c>
      <c r="D263" t="s">
        <v>308</v>
      </c>
      <c r="E263" t="s">
        <v>8</v>
      </c>
      <c r="F263" t="str">
        <f t="shared" si="8"/>
        <v>Ge</v>
      </c>
      <c r="G263" t="str">
        <f t="shared" si="9"/>
        <v>Geografia - Vegetação</v>
      </c>
    </row>
    <row r="264" spans="1:7" x14ac:dyDescent="0.25">
      <c r="A264" t="s">
        <v>303</v>
      </c>
      <c r="B264" t="s">
        <v>304</v>
      </c>
      <c r="D264" t="s">
        <v>309</v>
      </c>
      <c r="E264" t="s">
        <v>8</v>
      </c>
      <c r="F264" t="str">
        <f t="shared" si="8"/>
        <v>Ge</v>
      </c>
      <c r="G264" t="str">
        <f t="shared" si="9"/>
        <v>Geografia - Solos</v>
      </c>
    </row>
    <row r="265" spans="1:7" x14ac:dyDescent="0.25">
      <c r="A265" t="s">
        <v>303</v>
      </c>
      <c r="B265" t="s">
        <v>310</v>
      </c>
      <c r="D265" t="s">
        <v>311</v>
      </c>
      <c r="E265" t="s">
        <v>8</v>
      </c>
      <c r="F265" t="str">
        <f t="shared" si="8"/>
        <v>Ge</v>
      </c>
      <c r="G265" t="str">
        <f t="shared" si="9"/>
        <v>Geografia - População</v>
      </c>
    </row>
    <row r="266" spans="1:7" x14ac:dyDescent="0.25">
      <c r="A266" t="s">
        <v>303</v>
      </c>
      <c r="B266" t="s">
        <v>310</v>
      </c>
      <c r="D266" t="s">
        <v>312</v>
      </c>
      <c r="E266" t="s">
        <v>8</v>
      </c>
      <c r="F266" t="str">
        <f t="shared" si="8"/>
        <v>Ge</v>
      </c>
      <c r="G266" t="str">
        <f t="shared" si="9"/>
        <v>Geografia - Urbanização</v>
      </c>
    </row>
    <row r="267" spans="1:7" x14ac:dyDescent="0.25">
      <c r="A267" t="s">
        <v>303</v>
      </c>
      <c r="B267" t="s">
        <v>310</v>
      </c>
      <c r="D267" t="s">
        <v>313</v>
      </c>
      <c r="E267" t="s">
        <v>8</v>
      </c>
      <c r="F267" t="str">
        <f t="shared" si="8"/>
        <v>Ge</v>
      </c>
      <c r="G267" t="str">
        <f t="shared" si="9"/>
        <v>Geografia - Industrialização</v>
      </c>
    </row>
    <row r="268" spans="1:7" x14ac:dyDescent="0.25">
      <c r="A268" t="s">
        <v>303</v>
      </c>
      <c r="B268" t="s">
        <v>310</v>
      </c>
      <c r="D268" t="s">
        <v>314</v>
      </c>
      <c r="E268" t="s">
        <v>8</v>
      </c>
      <c r="F268" t="str">
        <f t="shared" si="8"/>
        <v>Ge</v>
      </c>
      <c r="G268" t="str">
        <f t="shared" si="9"/>
        <v>Geografia - Globalização</v>
      </c>
    </row>
    <row r="269" spans="1:7" x14ac:dyDescent="0.25">
      <c r="A269" t="s">
        <v>303</v>
      </c>
      <c r="B269" t="s">
        <v>310</v>
      </c>
      <c r="D269" t="s">
        <v>315</v>
      </c>
      <c r="E269" t="s">
        <v>8</v>
      </c>
      <c r="F269" t="str">
        <f t="shared" si="8"/>
        <v>Ge</v>
      </c>
      <c r="G269" t="str">
        <f t="shared" si="9"/>
        <v>Geografia - Agricultura</v>
      </c>
    </row>
    <row r="270" spans="1:7" x14ac:dyDescent="0.25">
      <c r="A270" t="s">
        <v>303</v>
      </c>
      <c r="B270" t="s">
        <v>310</v>
      </c>
      <c r="D270" t="s">
        <v>121</v>
      </c>
      <c r="E270" t="s">
        <v>8</v>
      </c>
      <c r="F270" t="str">
        <f t="shared" si="8"/>
        <v>Ge</v>
      </c>
      <c r="G270" t="str">
        <f t="shared" si="9"/>
        <v>Geografia - Energia</v>
      </c>
    </row>
    <row r="271" spans="1:7" x14ac:dyDescent="0.25">
      <c r="A271" t="s">
        <v>303</v>
      </c>
      <c r="B271" t="s">
        <v>310</v>
      </c>
      <c r="D271" t="s">
        <v>316</v>
      </c>
      <c r="E271" t="s">
        <v>8</v>
      </c>
      <c r="F271" t="str">
        <f t="shared" si="8"/>
        <v>Ge</v>
      </c>
      <c r="G271" t="str">
        <f t="shared" si="9"/>
        <v>Geografia - Geopolítica</v>
      </c>
    </row>
    <row r="272" spans="1:7" x14ac:dyDescent="0.25">
      <c r="A272" t="s">
        <v>303</v>
      </c>
      <c r="B272" t="s">
        <v>310</v>
      </c>
      <c r="D272" t="s">
        <v>317</v>
      </c>
      <c r="E272" t="s">
        <v>8</v>
      </c>
      <c r="F272" t="str">
        <f t="shared" si="8"/>
        <v>Ge</v>
      </c>
      <c r="G272" t="str">
        <f t="shared" si="9"/>
        <v>Geografia - Cartografia</v>
      </c>
    </row>
    <row r="273" spans="1:7" x14ac:dyDescent="0.25">
      <c r="A273" t="s">
        <v>318</v>
      </c>
      <c r="D273" t="s">
        <v>319</v>
      </c>
      <c r="E273" t="s">
        <v>8</v>
      </c>
      <c r="F273" t="str">
        <f t="shared" si="8"/>
        <v>Fi</v>
      </c>
      <c r="G273" t="str">
        <f t="shared" si="9"/>
        <v>Filosofia - Pré-socráticos</v>
      </c>
    </row>
    <row r="274" spans="1:7" x14ac:dyDescent="0.25">
      <c r="A274" t="s">
        <v>318</v>
      </c>
      <c r="D274" t="s">
        <v>320</v>
      </c>
      <c r="E274" t="s">
        <v>8</v>
      </c>
      <c r="F274" t="str">
        <f t="shared" si="8"/>
        <v>Fi</v>
      </c>
      <c r="G274" t="str">
        <f t="shared" si="9"/>
        <v>Filosofia - Sócrates</v>
      </c>
    </row>
    <row r="275" spans="1:7" x14ac:dyDescent="0.25">
      <c r="A275" t="s">
        <v>318</v>
      </c>
      <c r="D275" t="s">
        <v>321</v>
      </c>
      <c r="E275" t="s">
        <v>8</v>
      </c>
      <c r="F275" t="str">
        <f t="shared" si="8"/>
        <v>Fi</v>
      </c>
      <c r="G275" t="str">
        <f t="shared" si="9"/>
        <v>Filosofia - Platão</v>
      </c>
    </row>
    <row r="276" spans="1:7" x14ac:dyDescent="0.25">
      <c r="A276" t="s">
        <v>318</v>
      </c>
      <c r="D276" t="s">
        <v>322</v>
      </c>
      <c r="E276" t="s">
        <v>8</v>
      </c>
      <c r="F276" t="str">
        <f t="shared" si="8"/>
        <v>Fi</v>
      </c>
      <c r="G276" t="str">
        <f t="shared" si="9"/>
        <v>Filosofia - Aristóteles</v>
      </c>
    </row>
    <row r="277" spans="1:7" x14ac:dyDescent="0.25">
      <c r="A277" t="s">
        <v>318</v>
      </c>
      <c r="D277" t="s">
        <v>323</v>
      </c>
      <c r="E277" t="s">
        <v>8</v>
      </c>
      <c r="F277" t="str">
        <f t="shared" si="8"/>
        <v>Fi</v>
      </c>
      <c r="G277" t="str">
        <f t="shared" si="9"/>
        <v>Filosofia - Filosofia Medieval</v>
      </c>
    </row>
    <row r="278" spans="1:7" x14ac:dyDescent="0.25">
      <c r="A278" t="s">
        <v>318</v>
      </c>
      <c r="D278" t="s">
        <v>324</v>
      </c>
      <c r="E278" t="s">
        <v>8</v>
      </c>
      <c r="F278" t="str">
        <f t="shared" si="8"/>
        <v>Fi</v>
      </c>
      <c r="G278" t="str">
        <f t="shared" si="9"/>
        <v>Filosofia - Filosofia Moderna</v>
      </c>
    </row>
    <row r="279" spans="1:7" x14ac:dyDescent="0.25">
      <c r="A279" t="s">
        <v>318</v>
      </c>
      <c r="D279" t="s">
        <v>325</v>
      </c>
      <c r="E279" t="s">
        <v>8</v>
      </c>
      <c r="F279" t="str">
        <f t="shared" si="8"/>
        <v>Fi</v>
      </c>
      <c r="G279" t="str">
        <f t="shared" si="9"/>
        <v>Filosofia - Iluminismo</v>
      </c>
    </row>
    <row r="280" spans="1:7" x14ac:dyDescent="0.25">
      <c r="A280" t="s">
        <v>318</v>
      </c>
      <c r="D280" t="s">
        <v>326</v>
      </c>
      <c r="E280" t="s">
        <v>8</v>
      </c>
      <c r="F280" t="str">
        <f t="shared" si="8"/>
        <v>Fi</v>
      </c>
      <c r="G280" t="str">
        <f t="shared" si="9"/>
        <v>Filosofia - Kant</v>
      </c>
    </row>
    <row r="281" spans="1:7" x14ac:dyDescent="0.25">
      <c r="A281" t="s">
        <v>318</v>
      </c>
      <c r="D281" t="s">
        <v>327</v>
      </c>
      <c r="E281" t="s">
        <v>8</v>
      </c>
      <c r="F281" t="str">
        <f t="shared" si="8"/>
        <v>Fi</v>
      </c>
      <c r="G281" t="str">
        <f t="shared" si="9"/>
        <v>Filosofia - Marx</v>
      </c>
    </row>
    <row r="282" spans="1:7" x14ac:dyDescent="0.25">
      <c r="A282" t="s">
        <v>318</v>
      </c>
      <c r="D282" t="s">
        <v>328</v>
      </c>
      <c r="E282" t="s">
        <v>8</v>
      </c>
      <c r="F282" t="str">
        <f t="shared" si="8"/>
        <v>Fi</v>
      </c>
      <c r="G282" t="str">
        <f t="shared" si="9"/>
        <v>Filosofia - Nietzsche</v>
      </c>
    </row>
    <row r="283" spans="1:7" x14ac:dyDescent="0.25">
      <c r="A283" t="s">
        <v>318</v>
      </c>
      <c r="D283" t="s">
        <v>329</v>
      </c>
      <c r="E283" t="s">
        <v>8</v>
      </c>
      <c r="F283" t="str">
        <f t="shared" si="8"/>
        <v>Fi</v>
      </c>
      <c r="G283" t="str">
        <f t="shared" si="9"/>
        <v>Filosofia - Existencialismo</v>
      </c>
    </row>
    <row r="284" spans="1:7" x14ac:dyDescent="0.25">
      <c r="A284" t="s">
        <v>318</v>
      </c>
      <c r="D284" t="s">
        <v>330</v>
      </c>
      <c r="E284" t="s">
        <v>8</v>
      </c>
      <c r="F284" t="str">
        <f t="shared" si="8"/>
        <v>Fi</v>
      </c>
      <c r="G284" t="str">
        <f t="shared" si="9"/>
        <v>Filosofia - Ética</v>
      </c>
    </row>
    <row r="285" spans="1:7" x14ac:dyDescent="0.25">
      <c r="A285" t="s">
        <v>318</v>
      </c>
      <c r="D285" t="s">
        <v>331</v>
      </c>
      <c r="E285" t="s">
        <v>8</v>
      </c>
      <c r="F285" t="str">
        <f t="shared" si="8"/>
        <v>Fi</v>
      </c>
      <c r="G285" t="str">
        <f t="shared" si="9"/>
        <v>Filosofia - Política</v>
      </c>
    </row>
    <row r="286" spans="1:7" x14ac:dyDescent="0.25">
      <c r="A286" t="s">
        <v>332</v>
      </c>
      <c r="D286" t="s">
        <v>333</v>
      </c>
      <c r="E286" t="s">
        <v>8</v>
      </c>
      <c r="F286" t="str">
        <f t="shared" si="8"/>
        <v>So</v>
      </c>
      <c r="G286" t="str">
        <f t="shared" si="9"/>
        <v>Sociologia - Cultura</v>
      </c>
    </row>
    <row r="287" spans="1:7" x14ac:dyDescent="0.25">
      <c r="A287" t="s">
        <v>332</v>
      </c>
      <c r="D287" t="s">
        <v>334</v>
      </c>
      <c r="E287" t="s">
        <v>8</v>
      </c>
      <c r="F287" t="str">
        <f t="shared" si="8"/>
        <v>So</v>
      </c>
      <c r="G287" t="str">
        <f t="shared" si="9"/>
        <v>Sociologia - Socialização</v>
      </c>
    </row>
    <row r="288" spans="1:7" x14ac:dyDescent="0.25">
      <c r="A288" t="s">
        <v>332</v>
      </c>
      <c r="D288" t="s">
        <v>335</v>
      </c>
      <c r="E288" t="s">
        <v>8</v>
      </c>
      <c r="F288" t="str">
        <f t="shared" si="8"/>
        <v>So</v>
      </c>
      <c r="G288" t="str">
        <f t="shared" si="9"/>
        <v>Sociologia - Estado</v>
      </c>
    </row>
    <row r="289" spans="1:7" x14ac:dyDescent="0.25">
      <c r="A289" t="s">
        <v>332</v>
      </c>
      <c r="D289" t="s">
        <v>336</v>
      </c>
      <c r="E289" t="s">
        <v>8</v>
      </c>
      <c r="F289" t="str">
        <f t="shared" si="8"/>
        <v>So</v>
      </c>
      <c r="G289" t="str">
        <f t="shared" si="9"/>
        <v>Sociologia - Poder</v>
      </c>
    </row>
    <row r="290" spans="1:7" x14ac:dyDescent="0.25">
      <c r="A290" t="s">
        <v>332</v>
      </c>
      <c r="D290" t="s">
        <v>337</v>
      </c>
      <c r="E290" t="s">
        <v>8</v>
      </c>
      <c r="F290" t="str">
        <f t="shared" si="8"/>
        <v>So</v>
      </c>
      <c r="G290" t="str">
        <f t="shared" si="9"/>
        <v>Sociologia - Cidadania</v>
      </c>
    </row>
    <row r="291" spans="1:7" x14ac:dyDescent="0.25">
      <c r="A291" t="s">
        <v>332</v>
      </c>
      <c r="D291" t="s">
        <v>338</v>
      </c>
      <c r="E291" t="s">
        <v>8</v>
      </c>
      <c r="F291" t="str">
        <f t="shared" si="8"/>
        <v>So</v>
      </c>
      <c r="G291" t="str">
        <f t="shared" si="9"/>
        <v>Sociologia - Movimentos sociais</v>
      </c>
    </row>
    <row r="292" spans="1:7" x14ac:dyDescent="0.25">
      <c r="A292" t="s">
        <v>332</v>
      </c>
      <c r="D292" t="s">
        <v>120</v>
      </c>
      <c r="E292" t="s">
        <v>8</v>
      </c>
      <c r="F292" t="str">
        <f t="shared" si="8"/>
        <v>So</v>
      </c>
      <c r="G292" t="str">
        <f t="shared" si="9"/>
        <v>Sociologia - Trabalho</v>
      </c>
    </row>
    <row r="293" spans="1:7" x14ac:dyDescent="0.25">
      <c r="A293" t="s">
        <v>332</v>
      </c>
      <c r="D293" t="s">
        <v>339</v>
      </c>
      <c r="E293" t="s">
        <v>8</v>
      </c>
      <c r="F293" t="str">
        <f t="shared" si="8"/>
        <v>So</v>
      </c>
      <c r="G293" t="str">
        <f t="shared" si="9"/>
        <v>Sociologia - Desigualdade</v>
      </c>
    </row>
    <row r="294" spans="1:7" x14ac:dyDescent="0.25">
      <c r="A294" t="s">
        <v>332</v>
      </c>
      <c r="D294" t="s">
        <v>314</v>
      </c>
      <c r="E294" t="s">
        <v>8</v>
      </c>
      <c r="F294" t="str">
        <f t="shared" si="8"/>
        <v>So</v>
      </c>
      <c r="G294" t="str">
        <f t="shared" si="9"/>
        <v>Sociologia - Globalização</v>
      </c>
    </row>
    <row r="295" spans="1:7" x14ac:dyDescent="0.25">
      <c r="A295" t="s">
        <v>332</v>
      </c>
      <c r="D295" t="s">
        <v>340</v>
      </c>
      <c r="E295" t="s">
        <v>8</v>
      </c>
      <c r="F295" t="str">
        <f t="shared" si="8"/>
        <v>So</v>
      </c>
      <c r="G295" t="str">
        <f t="shared" si="9"/>
        <v>Sociologia - Durkheim</v>
      </c>
    </row>
    <row r="296" spans="1:7" x14ac:dyDescent="0.25">
      <c r="A296" t="s">
        <v>332</v>
      </c>
      <c r="D296" t="s">
        <v>341</v>
      </c>
      <c r="E296" t="s">
        <v>8</v>
      </c>
      <c r="F296" t="str">
        <f t="shared" si="8"/>
        <v>So</v>
      </c>
      <c r="G296" t="str">
        <f t="shared" si="9"/>
        <v>Sociologia - Weber</v>
      </c>
    </row>
    <row r="297" spans="1:7" x14ac:dyDescent="0.25">
      <c r="A297" t="s">
        <v>332</v>
      </c>
      <c r="D297" t="s">
        <v>327</v>
      </c>
      <c r="E297" t="s">
        <v>8</v>
      </c>
      <c r="F297" t="str">
        <f t="shared" si="8"/>
        <v>So</v>
      </c>
      <c r="G297" t="str">
        <f t="shared" si="9"/>
        <v>Sociologia - Marx</v>
      </c>
    </row>
    <row r="298" spans="1:7" x14ac:dyDescent="0.25">
      <c r="A298" t="s">
        <v>342</v>
      </c>
      <c r="D298" t="s">
        <v>343</v>
      </c>
      <c r="E298" t="s">
        <v>8</v>
      </c>
      <c r="F298" t="str">
        <f t="shared" si="8"/>
        <v>In</v>
      </c>
      <c r="G298" t="str">
        <f t="shared" si="9"/>
        <v>Inglês - Interpretação de texto</v>
      </c>
    </row>
    <row r="299" spans="1:7" x14ac:dyDescent="0.25">
      <c r="A299" t="s">
        <v>342</v>
      </c>
      <c r="D299" t="s">
        <v>344</v>
      </c>
      <c r="E299" t="s">
        <v>8</v>
      </c>
      <c r="F299" t="str">
        <f t="shared" si="8"/>
        <v>In</v>
      </c>
      <c r="G299" t="str">
        <f t="shared" si="9"/>
        <v>Inglês - Vocabulário</v>
      </c>
    </row>
    <row r="300" spans="1:7" x14ac:dyDescent="0.25">
      <c r="A300" t="s">
        <v>342</v>
      </c>
      <c r="D300" t="s">
        <v>345</v>
      </c>
      <c r="E300" t="s">
        <v>8</v>
      </c>
      <c r="F300" t="str">
        <f t="shared" si="8"/>
        <v>In</v>
      </c>
      <c r="G300" t="str">
        <f t="shared" si="9"/>
        <v>Inglês - Tempos verbais</v>
      </c>
    </row>
    <row r="301" spans="1:7" x14ac:dyDescent="0.25">
      <c r="A301" t="s">
        <v>342</v>
      </c>
      <c r="D301" t="s">
        <v>346</v>
      </c>
      <c r="E301" t="s">
        <v>8</v>
      </c>
      <c r="F301" t="str">
        <f t="shared" si="8"/>
        <v>In</v>
      </c>
      <c r="G301" t="str">
        <f t="shared" si="9"/>
        <v>Inglês - Modal verbs</v>
      </c>
    </row>
    <row r="302" spans="1:7" x14ac:dyDescent="0.25">
      <c r="A302" t="s">
        <v>342</v>
      </c>
      <c r="D302" t="s">
        <v>347</v>
      </c>
      <c r="E302" t="s">
        <v>8</v>
      </c>
      <c r="F302" t="str">
        <f t="shared" si="8"/>
        <v>In</v>
      </c>
      <c r="G302" t="str">
        <f t="shared" si="9"/>
        <v>Inglês - Voz passiva</v>
      </c>
    </row>
    <row r="303" spans="1:7" x14ac:dyDescent="0.25">
      <c r="A303" t="s">
        <v>342</v>
      </c>
      <c r="D303" t="s">
        <v>284</v>
      </c>
      <c r="E303" t="s">
        <v>8</v>
      </c>
      <c r="F303" t="str">
        <f t="shared" si="8"/>
        <v>In</v>
      </c>
      <c r="G303" t="str">
        <f t="shared" si="9"/>
        <v>Inglês - Conectivos</v>
      </c>
    </row>
    <row r="304" spans="1:7" x14ac:dyDescent="0.25">
      <c r="A304" t="s">
        <v>342</v>
      </c>
      <c r="D304" t="s">
        <v>348</v>
      </c>
      <c r="E304" t="s">
        <v>8</v>
      </c>
      <c r="F304" t="str">
        <f t="shared" si="8"/>
        <v>In</v>
      </c>
      <c r="G304" t="str">
        <f t="shared" si="9"/>
        <v>Inglês - Prefixos e sufixos</v>
      </c>
    </row>
    <row r="305" spans="1:7" x14ac:dyDescent="0.25">
      <c r="A305" t="s">
        <v>342</v>
      </c>
      <c r="D305" t="s">
        <v>349</v>
      </c>
      <c r="E305" t="s">
        <v>8</v>
      </c>
      <c r="F305" t="str">
        <f t="shared" si="8"/>
        <v>In</v>
      </c>
      <c r="G305" t="str">
        <f t="shared" si="9"/>
        <v>Inglês - Cognatos e falsos cognatos</v>
      </c>
    </row>
    <row r="306" spans="1:7" x14ac:dyDescent="0.25">
      <c r="A306" t="s">
        <v>350</v>
      </c>
      <c r="D306" t="s">
        <v>343</v>
      </c>
      <c r="E306" t="s">
        <v>8</v>
      </c>
      <c r="F306" t="str">
        <f t="shared" si="8"/>
        <v>Es</v>
      </c>
      <c r="G306" t="str">
        <f t="shared" si="9"/>
        <v>Espanhol - Interpretação de texto</v>
      </c>
    </row>
    <row r="307" spans="1:7" x14ac:dyDescent="0.25">
      <c r="A307" t="s">
        <v>350</v>
      </c>
      <c r="D307" t="s">
        <v>344</v>
      </c>
      <c r="E307" t="s">
        <v>8</v>
      </c>
      <c r="F307" t="str">
        <f t="shared" si="8"/>
        <v>Es</v>
      </c>
      <c r="G307" t="str">
        <f t="shared" si="9"/>
        <v>Espanhol - Vocabulário</v>
      </c>
    </row>
    <row r="308" spans="1:7" x14ac:dyDescent="0.25">
      <c r="A308" t="s">
        <v>350</v>
      </c>
      <c r="D308" t="s">
        <v>345</v>
      </c>
      <c r="E308" t="s">
        <v>8</v>
      </c>
      <c r="F308" t="str">
        <f t="shared" si="8"/>
        <v>Es</v>
      </c>
      <c r="G308" t="str">
        <f t="shared" si="9"/>
        <v>Espanhol - Tempos verbais</v>
      </c>
    </row>
    <row r="309" spans="1:7" x14ac:dyDescent="0.25">
      <c r="A309" t="s">
        <v>350</v>
      </c>
      <c r="D309" t="s">
        <v>284</v>
      </c>
      <c r="E309" t="s">
        <v>8</v>
      </c>
      <c r="F309" t="str">
        <f t="shared" si="8"/>
        <v>Es</v>
      </c>
      <c r="G309" t="str">
        <f t="shared" si="9"/>
        <v>Espanhol - Conectivos</v>
      </c>
    </row>
    <row r="310" spans="1:7" x14ac:dyDescent="0.25">
      <c r="A310" t="s">
        <v>351</v>
      </c>
      <c r="D310" t="s">
        <v>352</v>
      </c>
      <c r="E310" t="s">
        <v>8</v>
      </c>
      <c r="F310" t="str">
        <f t="shared" si="8"/>
        <v>At</v>
      </c>
      <c r="G310" t="str">
        <f t="shared" si="9"/>
        <v>Atualidades - Política brasileira</v>
      </c>
    </row>
    <row r="311" spans="1:7" x14ac:dyDescent="0.25">
      <c r="A311" t="s">
        <v>351</v>
      </c>
      <c r="D311" t="s">
        <v>353</v>
      </c>
      <c r="E311" t="s">
        <v>8</v>
      </c>
      <c r="F311" t="str">
        <f t="shared" si="8"/>
        <v>At</v>
      </c>
      <c r="G311" t="str">
        <f t="shared" si="9"/>
        <v>Atualidades - Política internacional</v>
      </c>
    </row>
    <row r="312" spans="1:7" x14ac:dyDescent="0.25">
      <c r="A312" t="s">
        <v>351</v>
      </c>
      <c r="D312" t="s">
        <v>354</v>
      </c>
      <c r="E312" t="s">
        <v>8</v>
      </c>
      <c r="F312" t="str">
        <f t="shared" si="8"/>
        <v>At</v>
      </c>
      <c r="G312" t="str">
        <f t="shared" si="9"/>
        <v>Atualidades - Economia</v>
      </c>
    </row>
    <row r="313" spans="1:7" x14ac:dyDescent="0.25">
      <c r="A313" t="s">
        <v>351</v>
      </c>
      <c r="D313" t="s">
        <v>355</v>
      </c>
      <c r="E313" t="s">
        <v>8</v>
      </c>
      <c r="F313" t="str">
        <f t="shared" si="8"/>
        <v>At</v>
      </c>
      <c r="G313" t="str">
        <f t="shared" si="9"/>
        <v>Atualidades - Meio ambiente</v>
      </c>
    </row>
    <row r="314" spans="1:7" x14ac:dyDescent="0.25">
      <c r="A314" t="s">
        <v>351</v>
      </c>
      <c r="D314" t="s">
        <v>356</v>
      </c>
      <c r="E314" t="s">
        <v>8</v>
      </c>
      <c r="F314" t="str">
        <f t="shared" si="8"/>
        <v>At</v>
      </c>
      <c r="G314" t="str">
        <f t="shared" si="9"/>
        <v>Atualidades - Mudanças climáticas</v>
      </c>
    </row>
    <row r="315" spans="1:7" x14ac:dyDescent="0.25">
      <c r="A315" t="s">
        <v>351</v>
      </c>
      <c r="D315" t="s">
        <v>357</v>
      </c>
      <c r="E315" t="s">
        <v>8</v>
      </c>
      <c r="F315" t="str">
        <f t="shared" si="8"/>
        <v>At</v>
      </c>
      <c r="G315" t="str">
        <f t="shared" si="9"/>
        <v>Atualidades - Tecnologia</v>
      </c>
    </row>
    <row r="316" spans="1:7" x14ac:dyDescent="0.25">
      <c r="A316" t="s">
        <v>351</v>
      </c>
      <c r="D316" t="s">
        <v>358</v>
      </c>
      <c r="E316" t="s">
        <v>8</v>
      </c>
      <c r="F316" t="str">
        <f t="shared" si="8"/>
        <v>At</v>
      </c>
      <c r="G316" t="str">
        <f t="shared" si="9"/>
        <v>Atualidades - Inteligência Artificial</v>
      </c>
    </row>
    <row r="317" spans="1:7" x14ac:dyDescent="0.25">
      <c r="A317" t="s">
        <v>351</v>
      </c>
      <c r="D317" t="s">
        <v>359</v>
      </c>
      <c r="E317" t="s">
        <v>8</v>
      </c>
      <c r="F317" t="str">
        <f t="shared" si="8"/>
        <v>At</v>
      </c>
      <c r="G317" t="str">
        <f t="shared" si="9"/>
        <v>Atualidades - Saúde pública</v>
      </c>
    </row>
    <row r="318" spans="1:7" x14ac:dyDescent="0.25">
      <c r="A318" t="s">
        <v>351</v>
      </c>
      <c r="D318" t="s">
        <v>360</v>
      </c>
      <c r="E318" t="s">
        <v>8</v>
      </c>
      <c r="F318" t="str">
        <f t="shared" si="8"/>
        <v>At</v>
      </c>
      <c r="G318" t="str">
        <f t="shared" si="9"/>
        <v>Atualidades - Direitos Humanos</v>
      </c>
    </row>
    <row r="319" spans="1:7" x14ac:dyDescent="0.25">
      <c r="A319" t="s">
        <v>351</v>
      </c>
      <c r="D319" t="s">
        <v>361</v>
      </c>
      <c r="E319" t="s">
        <v>8</v>
      </c>
      <c r="F319" t="str">
        <f t="shared" si="8"/>
        <v>At</v>
      </c>
      <c r="G319" t="str">
        <f t="shared" si="9"/>
        <v>Atualidades - Diversidade</v>
      </c>
    </row>
    <row r="320" spans="1:7" x14ac:dyDescent="0.25">
      <c r="A320" t="s">
        <v>351</v>
      </c>
      <c r="D320" t="s">
        <v>333</v>
      </c>
      <c r="E320" t="s">
        <v>8</v>
      </c>
      <c r="F320" t="str">
        <f t="shared" si="8"/>
        <v>At</v>
      </c>
      <c r="G320" t="str">
        <f t="shared" si="9"/>
        <v>Atualidades - Cultura</v>
      </c>
    </row>
    <row r="321" spans="1:7" x14ac:dyDescent="0.25">
      <c r="A321" t="s">
        <v>351</v>
      </c>
      <c r="D321" t="s">
        <v>362</v>
      </c>
      <c r="E321" t="s">
        <v>8</v>
      </c>
      <c r="F321" t="str">
        <f t="shared" si="8"/>
        <v>At</v>
      </c>
      <c r="G321" t="str">
        <f t="shared" si="9"/>
        <v>Atualidades - Ciência</v>
      </c>
    </row>
  </sheetData>
  <autoFilter ref="A1:G32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C13"/>
    </sheetView>
  </sheetViews>
  <sheetFormatPr defaultRowHeight="15" x14ac:dyDescent="0.25"/>
  <sheetData>
    <row r="1" spans="1:3" x14ac:dyDescent="0.25">
      <c r="A1" s="18" t="str">
        <f>LEFT(C1,2)</f>
        <v>Ma</v>
      </c>
      <c r="B1" s="18">
        <v>1</v>
      </c>
      <c r="C1" s="18" t="s">
        <v>376</v>
      </c>
    </row>
    <row r="2" spans="1:3" x14ac:dyDescent="0.25">
      <c r="A2" s="18" t="str">
        <f t="shared" ref="A2:A13" si="0">LEFT(C2,2)</f>
        <v>Fí</v>
      </c>
      <c r="B2" s="18">
        <v>2</v>
      </c>
      <c r="C2" s="18" t="s">
        <v>115</v>
      </c>
    </row>
    <row r="3" spans="1:3" x14ac:dyDescent="0.25">
      <c r="A3" s="18" t="str">
        <f t="shared" si="0"/>
        <v>Qu</v>
      </c>
      <c r="B3" s="18">
        <v>3</v>
      </c>
      <c r="C3" s="18" t="s">
        <v>167</v>
      </c>
    </row>
    <row r="4" spans="1:3" x14ac:dyDescent="0.25">
      <c r="A4" s="18" t="str">
        <f t="shared" si="0"/>
        <v>Bi</v>
      </c>
      <c r="B4" s="18">
        <v>4</v>
      </c>
      <c r="C4" s="18" t="s">
        <v>197</v>
      </c>
    </row>
    <row r="5" spans="1:3" x14ac:dyDescent="0.25">
      <c r="A5" s="18" t="str">
        <f t="shared" si="0"/>
        <v>Po</v>
      </c>
      <c r="B5" s="18">
        <v>5</v>
      </c>
      <c r="C5" s="18" t="s">
        <v>377</v>
      </c>
    </row>
    <row r="6" spans="1:3" x14ac:dyDescent="0.25">
      <c r="A6" s="18" t="str">
        <f t="shared" si="0"/>
        <v>Re</v>
      </c>
      <c r="B6" s="18">
        <v>6</v>
      </c>
      <c r="C6" s="18" t="s">
        <v>273</v>
      </c>
    </row>
    <row r="7" spans="1:3" x14ac:dyDescent="0.25">
      <c r="A7" t="str">
        <f t="shared" si="0"/>
        <v>Hi</v>
      </c>
      <c r="B7">
        <v>7</v>
      </c>
      <c r="C7" t="s">
        <v>287</v>
      </c>
    </row>
    <row r="8" spans="1:3" x14ac:dyDescent="0.25">
      <c r="A8" t="str">
        <f t="shared" si="0"/>
        <v>Ge</v>
      </c>
      <c r="B8">
        <v>8</v>
      </c>
      <c r="C8" t="s">
        <v>303</v>
      </c>
    </row>
    <row r="9" spans="1:3" x14ac:dyDescent="0.25">
      <c r="A9" t="str">
        <f t="shared" si="0"/>
        <v>Fi</v>
      </c>
      <c r="B9">
        <v>9</v>
      </c>
      <c r="C9" t="s">
        <v>318</v>
      </c>
    </row>
    <row r="10" spans="1:3" x14ac:dyDescent="0.25">
      <c r="A10" t="str">
        <f t="shared" si="0"/>
        <v>So</v>
      </c>
      <c r="B10">
        <v>10</v>
      </c>
      <c r="C10" t="s">
        <v>332</v>
      </c>
    </row>
    <row r="11" spans="1:3" x14ac:dyDescent="0.25">
      <c r="A11" t="str">
        <f t="shared" si="0"/>
        <v>In</v>
      </c>
      <c r="B11">
        <v>11</v>
      </c>
      <c r="C11" t="s">
        <v>378</v>
      </c>
    </row>
    <row r="12" spans="1:3" x14ac:dyDescent="0.25">
      <c r="A12" t="str">
        <f t="shared" si="0"/>
        <v>Es</v>
      </c>
      <c r="B12">
        <v>12</v>
      </c>
      <c r="C12" t="s">
        <v>350</v>
      </c>
    </row>
    <row r="13" spans="1:3" x14ac:dyDescent="0.25">
      <c r="A13" t="str">
        <f t="shared" si="0"/>
        <v>At</v>
      </c>
      <c r="B13">
        <v>13</v>
      </c>
      <c r="C13" t="s">
        <v>351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4"/>
  <sheetViews>
    <sheetView tabSelected="1" workbookViewId="0">
      <selection activeCell="C10" sqref="C10"/>
    </sheetView>
  </sheetViews>
  <sheetFormatPr defaultRowHeight="15" x14ac:dyDescent="0.25"/>
  <cols>
    <col min="1" max="1" width="10.7109375" style="3" bestFit="1" customWidth="1"/>
    <col min="2" max="6" width="34" bestFit="1" customWidth="1"/>
    <col min="7" max="7" width="14.7109375" bestFit="1" customWidth="1"/>
  </cols>
  <sheetData>
    <row r="1" spans="1:7" x14ac:dyDescent="0.25">
      <c r="A1" s="4" t="s">
        <v>371</v>
      </c>
      <c r="B1" s="2" t="s">
        <v>363</v>
      </c>
      <c r="C1" s="2" t="s">
        <v>364</v>
      </c>
      <c r="D1" s="2" t="s">
        <v>365</v>
      </c>
      <c r="E1" s="2" t="s">
        <v>366</v>
      </c>
      <c r="F1" s="2" t="s">
        <v>367</v>
      </c>
      <c r="G1" s="2" t="s">
        <v>368</v>
      </c>
    </row>
    <row r="2" spans="1:7" x14ac:dyDescent="0.25">
      <c r="A2" s="3">
        <v>46230</v>
      </c>
      <c r="B2" t="str">
        <f>IFERROR(INDEX(registro!$A:$A, MATCH($A2, registro!C:C, 0))," ")</f>
        <v>Português - Classes gramaticais</v>
      </c>
      <c r="C2" t="str">
        <f>IFERROR(INDEX(registro!$A:$A, MATCH($A2, registro!D:D, 0))," ")</f>
        <v xml:space="preserve"> </v>
      </c>
      <c r="D2" t="str">
        <f>IFERROR(INDEX(registro!$A:$A, MATCH($A2, registro!E:E, 0))," ")</f>
        <v xml:space="preserve"> </v>
      </c>
      <c r="E2" t="str">
        <f>IFERROR(INDEX(registro!$A:$A, MATCH($A2, registro!F:F, 0))," ")</f>
        <v xml:space="preserve"> </v>
      </c>
      <c r="F2" t="str">
        <f>IFERROR(INDEX(registro!$A:$A, MATCH($A2, registro!G:G, 0))," ")</f>
        <v xml:space="preserve"> </v>
      </c>
      <c r="G2" t="str">
        <f>IFERROR(INDEX(registro!$A:$A, MATCH($A2, registro!H:H, 0))," ")</f>
        <v xml:space="preserve"> </v>
      </c>
    </row>
    <row r="3" spans="1:7" x14ac:dyDescent="0.25">
      <c r="A3" s="3">
        <v>46231</v>
      </c>
      <c r="B3" t="str">
        <f>IFERROR(INDEX(registro!$A:$A, MATCH($A3, registro!C:C, 0))," ")</f>
        <v xml:space="preserve"> </v>
      </c>
      <c r="C3" t="str">
        <f>IFERROR(INDEX(registro!$A:$A, MATCH($A3, registro!D:D, 0))," ")</f>
        <v>Português - Classes gramaticais</v>
      </c>
      <c r="D3" t="str">
        <f>IFERROR(INDEX(registro!$A:$A, MATCH($A3, registro!E:E, 0))," ")</f>
        <v xml:space="preserve"> </v>
      </c>
      <c r="E3" t="str">
        <f>IFERROR(INDEX(registro!$A:$A, MATCH($A3, registro!F:F, 0))," ")</f>
        <v xml:space="preserve"> </v>
      </c>
      <c r="F3" t="str">
        <f>IFERROR(INDEX(registro!$A:$A, MATCH($A3, registro!G:G, 0))," ")</f>
        <v xml:space="preserve"> </v>
      </c>
      <c r="G3" t="str">
        <f>IFERROR(INDEX(registro!$A:$A, MATCH($A3, registro!H:H, 0))," ")</f>
        <v xml:space="preserve"> </v>
      </c>
    </row>
    <row r="4" spans="1:7" x14ac:dyDescent="0.25">
      <c r="A4" s="3">
        <v>46232</v>
      </c>
      <c r="B4" t="str">
        <f>IFERROR(INDEX(registro!$A:$A, MATCH($A4, registro!C:C, 0))," ")</f>
        <v xml:space="preserve"> </v>
      </c>
      <c r="C4" t="str">
        <f>IFERROR(INDEX(registro!$A:$A, MATCH($A4, registro!D:D, 0))," ")</f>
        <v xml:space="preserve"> </v>
      </c>
      <c r="D4" t="str">
        <f>IFERROR(INDEX(registro!$A:$A, MATCH($A4, registro!E:E, 0))," ")</f>
        <v xml:space="preserve"> </v>
      </c>
      <c r="E4" t="str">
        <f>IFERROR(INDEX(registro!$A:$A, MATCH($A4, registro!F:F, 0))," ")</f>
        <v xml:space="preserve"> </v>
      </c>
      <c r="F4" t="str">
        <f>IFERROR(INDEX(registro!$A:$A, MATCH($A4, registro!G:G, 0))," ")</f>
        <v xml:space="preserve"> </v>
      </c>
      <c r="G4" t="str">
        <f>IFERROR(INDEX(registro!$A:$A, MATCH($A4, registro!H:H, 0))," ")</f>
        <v xml:space="preserve"> </v>
      </c>
    </row>
    <row r="5" spans="1:7" x14ac:dyDescent="0.25">
      <c r="A5" s="3">
        <v>46233</v>
      </c>
      <c r="B5" t="str">
        <f>IFERROR(INDEX(registro!$A:$A, MATCH($A5, registro!C:C, 0))," ")</f>
        <v xml:space="preserve"> </v>
      </c>
      <c r="C5" t="str">
        <f>IFERROR(INDEX(registro!$A:$A, MATCH($A5, registro!D:D, 0))," ")</f>
        <v xml:space="preserve"> </v>
      </c>
      <c r="D5" t="str">
        <f>IFERROR(INDEX(registro!$A:$A, MATCH($A5, registro!E:E, 0))," ")</f>
        <v xml:space="preserve"> </v>
      </c>
      <c r="E5" t="str">
        <f>IFERROR(INDEX(registro!$A:$A, MATCH($A5, registro!F:F, 0))," ")</f>
        <v xml:space="preserve"> </v>
      </c>
      <c r="F5" t="str">
        <f>IFERROR(INDEX(registro!$A:$A, MATCH($A5, registro!G:G, 0))," ")</f>
        <v xml:space="preserve"> </v>
      </c>
      <c r="G5" t="str">
        <f>IFERROR(INDEX(registro!$A:$A, MATCH($A5, registro!H:H, 0))," ")</f>
        <v xml:space="preserve"> </v>
      </c>
    </row>
    <row r="6" spans="1:7" x14ac:dyDescent="0.25">
      <c r="A6" s="3">
        <v>46234</v>
      </c>
      <c r="B6" t="str">
        <f>IFERROR(INDEX(registro!$A:$A, MATCH($A6, registro!C:C, 0))," ")</f>
        <v xml:space="preserve"> </v>
      </c>
      <c r="C6" t="str">
        <f>IFERROR(INDEX(registro!$A:$A, MATCH($A6, registro!D:D, 0))," ")</f>
        <v xml:space="preserve"> </v>
      </c>
      <c r="D6" t="str">
        <f>IFERROR(INDEX(registro!$A:$A, MATCH($A6, registro!E:E, 0))," ")</f>
        <v xml:space="preserve"> </v>
      </c>
      <c r="E6" t="str">
        <f>IFERROR(INDEX(registro!$A:$A, MATCH($A6, registro!F:F, 0))," ")</f>
        <v xml:space="preserve"> </v>
      </c>
      <c r="F6" t="str">
        <f>IFERROR(INDEX(registro!$A:$A, MATCH($A6, registro!G:G, 0))," ")</f>
        <v xml:space="preserve"> </v>
      </c>
      <c r="G6" t="str">
        <f>IFERROR(INDEX(registro!$A:$A, MATCH($A6, registro!H:H, 0))," ")</f>
        <v xml:space="preserve"> </v>
      </c>
    </row>
    <row r="7" spans="1:7" x14ac:dyDescent="0.25">
      <c r="A7" s="3">
        <v>46235</v>
      </c>
      <c r="B7" t="str">
        <f>IFERROR(INDEX(registro!$A:$A, MATCH($A7, registro!C:C, 0))," ")</f>
        <v xml:space="preserve"> </v>
      </c>
      <c r="C7" t="str">
        <f>IFERROR(INDEX(registro!$A:$A, MATCH($A7, registro!D:D, 0))," ")</f>
        <v xml:space="preserve"> </v>
      </c>
      <c r="D7" t="str">
        <f>IFERROR(INDEX(registro!$A:$A, MATCH($A7, registro!E:E, 0))," ")</f>
        <v xml:space="preserve"> </v>
      </c>
      <c r="E7" t="str">
        <f>IFERROR(INDEX(registro!$A:$A, MATCH($A7, registro!F:F, 0))," ")</f>
        <v xml:space="preserve"> </v>
      </c>
      <c r="F7" t="str">
        <f>IFERROR(INDEX(registro!$A:$A, MATCH($A7, registro!G:G, 0))," ")</f>
        <v xml:space="preserve"> </v>
      </c>
      <c r="G7" t="str">
        <f>IFERROR(INDEX(registro!$A:$A, MATCH($A7, registro!H:H, 0))," ")</f>
        <v xml:space="preserve"> </v>
      </c>
    </row>
    <row r="8" spans="1:7" x14ac:dyDescent="0.25">
      <c r="A8" s="3">
        <v>46236</v>
      </c>
      <c r="B8" t="str">
        <f>IFERROR(INDEX(registro!$A:$A, MATCH($A8, registro!C:C, 0))," ")</f>
        <v xml:space="preserve"> </v>
      </c>
      <c r="C8" t="str">
        <f>IFERROR(INDEX(registro!$A:$A, MATCH($A8, registro!D:D, 0))," ")</f>
        <v xml:space="preserve"> </v>
      </c>
      <c r="D8" t="str">
        <f>IFERROR(INDEX(registro!$A:$A, MATCH($A8, registro!E:E, 0))," ")</f>
        <v xml:space="preserve"> </v>
      </c>
      <c r="E8" t="str">
        <f>IFERROR(INDEX(registro!$A:$A, MATCH($A8, registro!F:F, 0))," ")</f>
        <v xml:space="preserve"> </v>
      </c>
      <c r="F8" t="str">
        <f>IFERROR(INDEX(registro!$A:$A, MATCH($A8, registro!G:G, 0))," ")</f>
        <v xml:space="preserve"> </v>
      </c>
      <c r="G8" t="str">
        <f>IFERROR(INDEX(registro!$A:$A, MATCH($A8, registro!H:H, 0))," ")</f>
        <v xml:space="preserve"> </v>
      </c>
    </row>
    <row r="9" spans="1:7" x14ac:dyDescent="0.25">
      <c r="A9" s="3">
        <v>46237</v>
      </c>
      <c r="B9" t="str">
        <f>IFERROR(INDEX(registro!$A:$A, MATCH($A9, registro!C:C, 0))," ")</f>
        <v xml:space="preserve"> </v>
      </c>
      <c r="C9" t="str">
        <f>IFERROR(INDEX(registro!$A:$A, MATCH($A9, registro!D:D, 0))," ")</f>
        <v xml:space="preserve"> </v>
      </c>
      <c r="D9" t="str">
        <f>IFERROR(INDEX(registro!$A:$A, MATCH($A9, registro!E:E, 0))," ")</f>
        <v xml:space="preserve"> </v>
      </c>
      <c r="E9" t="str">
        <f>IFERROR(INDEX(registro!$A:$A, MATCH($A9, registro!F:F, 0))," ")</f>
        <v xml:space="preserve"> </v>
      </c>
      <c r="F9" t="str">
        <f>IFERROR(INDEX(registro!$A:$A, MATCH($A9, registro!G:G, 0))," ")</f>
        <v xml:space="preserve"> </v>
      </c>
      <c r="G9" t="str">
        <f>IFERROR(INDEX(registro!$A:$A, MATCH($A9, registro!H:H, 0))," ")</f>
        <v xml:space="preserve"> </v>
      </c>
    </row>
    <row r="10" spans="1:7" x14ac:dyDescent="0.25">
      <c r="A10" s="3">
        <v>46238</v>
      </c>
      <c r="B10" t="str">
        <f>IFERROR(INDEX(registro!$A:$A, MATCH($A10, registro!C:C, 0))," ")</f>
        <v xml:space="preserve"> </v>
      </c>
      <c r="C10" t="str">
        <f>IFERROR(INDEX(registro!$A:$A, MATCH($A10, registro!D:D, 0))," ")</f>
        <v xml:space="preserve"> </v>
      </c>
      <c r="D10" t="str">
        <f>IFERROR(INDEX(registro!$A:$A, MATCH($A10, registro!E:E, 0))," ")</f>
        <v>Português - Classes gramaticais</v>
      </c>
      <c r="E10" t="str">
        <f>IFERROR(INDEX(registro!$A:$A, MATCH($A10, registro!F:F, 0))," ")</f>
        <v xml:space="preserve"> </v>
      </c>
      <c r="F10" t="str">
        <f>IFERROR(INDEX(registro!$A:$A, MATCH($A10, registro!G:G, 0))," ")</f>
        <v xml:space="preserve"> </v>
      </c>
      <c r="G10" t="str">
        <f>IFERROR(INDEX(registro!$A:$A, MATCH($A10, registro!H:H, 0))," ")</f>
        <v xml:space="preserve"> </v>
      </c>
    </row>
    <row r="11" spans="1:7" x14ac:dyDescent="0.25">
      <c r="A11" s="3">
        <v>46239</v>
      </c>
      <c r="B11" t="str">
        <f>IFERROR(INDEX(registro!$A:$A, MATCH($A11, registro!C:C, 0))," ")</f>
        <v xml:space="preserve"> </v>
      </c>
      <c r="C11" t="str">
        <f>IFERROR(INDEX(registro!$A:$A, MATCH($A11, registro!D:D, 0))," ")</f>
        <v xml:space="preserve"> </v>
      </c>
      <c r="D11" t="str">
        <f>IFERROR(INDEX(registro!$A:$A, MATCH($A11, registro!E:E, 0))," ")</f>
        <v xml:space="preserve"> </v>
      </c>
      <c r="E11" t="str">
        <f>IFERROR(INDEX(registro!$A:$A, MATCH($A11, registro!F:F, 0))," ")</f>
        <v xml:space="preserve"> </v>
      </c>
      <c r="F11" t="str">
        <f>IFERROR(INDEX(registro!$A:$A, MATCH($A11, registro!G:G, 0))," ")</f>
        <v xml:space="preserve"> </v>
      </c>
      <c r="G11" t="str">
        <f>IFERROR(INDEX(registro!$A:$A, MATCH($A11, registro!H:H, 0))," ")</f>
        <v xml:space="preserve"> </v>
      </c>
    </row>
    <row r="12" spans="1:7" x14ac:dyDescent="0.25">
      <c r="A12" s="3">
        <v>46240</v>
      </c>
      <c r="B12" t="str">
        <f>IFERROR(INDEX(registro!$A:$A, MATCH($A12, registro!C:C, 0))," ")</f>
        <v xml:space="preserve"> </v>
      </c>
      <c r="C12" t="str">
        <f>IFERROR(INDEX(registro!$A:$A, MATCH($A12, registro!D:D, 0))," ")</f>
        <v xml:space="preserve"> </v>
      </c>
      <c r="D12" t="str">
        <f>IFERROR(INDEX(registro!$A:$A, MATCH($A12, registro!E:E, 0))," ")</f>
        <v xml:space="preserve"> </v>
      </c>
      <c r="E12" t="str">
        <f>IFERROR(INDEX(registro!$A:$A, MATCH($A12, registro!F:F, 0))," ")</f>
        <v xml:space="preserve"> </v>
      </c>
      <c r="F12" t="str">
        <f>IFERROR(INDEX(registro!$A:$A, MATCH($A12, registro!G:G, 0))," ")</f>
        <v xml:space="preserve"> </v>
      </c>
      <c r="G12" t="str">
        <f>IFERROR(INDEX(registro!$A:$A, MATCH($A12, registro!H:H, 0))," ")</f>
        <v xml:space="preserve"> </v>
      </c>
    </row>
    <row r="13" spans="1:7" x14ac:dyDescent="0.25">
      <c r="A13" s="3">
        <v>46241</v>
      </c>
      <c r="B13" t="str">
        <f>IFERROR(INDEX(registro!$A:$A, MATCH($A13, registro!C:C, 0))," ")</f>
        <v xml:space="preserve"> </v>
      </c>
      <c r="C13" t="str">
        <f>IFERROR(INDEX(registro!$A:$A, MATCH($A13, registro!D:D, 0))," ")</f>
        <v xml:space="preserve"> </v>
      </c>
      <c r="D13" t="str">
        <f>IFERROR(INDEX(registro!$A:$A, MATCH($A13, registro!E:E, 0))," ")</f>
        <v xml:space="preserve"> </v>
      </c>
      <c r="E13" t="str">
        <f>IFERROR(INDEX(registro!$A:$A, MATCH($A13, registro!F:F, 0))," ")</f>
        <v xml:space="preserve"> </v>
      </c>
      <c r="F13" t="str">
        <f>IFERROR(INDEX(registro!$A:$A, MATCH($A13, registro!G:G, 0))," ")</f>
        <v xml:space="preserve"> </v>
      </c>
      <c r="G13" t="str">
        <f>IFERROR(INDEX(registro!$A:$A, MATCH($A13, registro!H:H, 0))," ")</f>
        <v xml:space="preserve"> </v>
      </c>
    </row>
    <row r="14" spans="1:7" x14ac:dyDescent="0.25">
      <c r="A14" s="3">
        <v>46242</v>
      </c>
      <c r="B14" t="str">
        <f>IFERROR(INDEX(registro!$A:$A, MATCH($A14, registro!C:C, 0))," ")</f>
        <v xml:space="preserve"> </v>
      </c>
      <c r="C14" t="str">
        <f>IFERROR(INDEX(registro!$A:$A, MATCH($A14, registro!D:D, 0))," ")</f>
        <v xml:space="preserve"> </v>
      </c>
      <c r="D14" t="str">
        <f>IFERROR(INDEX(registro!$A:$A, MATCH($A14, registro!E:E, 0))," ")</f>
        <v xml:space="preserve"> </v>
      </c>
      <c r="E14" t="str">
        <f>IFERROR(INDEX(registro!$A:$A, MATCH($A14, registro!F:F, 0))," ")</f>
        <v xml:space="preserve"> </v>
      </c>
      <c r="F14" t="str">
        <f>IFERROR(INDEX(registro!$A:$A, MATCH($A14, registro!G:G, 0))," ")</f>
        <v xml:space="preserve"> </v>
      </c>
      <c r="G14" t="str">
        <f>IFERROR(INDEX(registro!$A:$A, MATCH($A14, registro!H:H, 0))," ")</f>
        <v xml:space="preserve"> </v>
      </c>
    </row>
    <row r="15" spans="1:7" x14ac:dyDescent="0.25">
      <c r="A15" s="3">
        <v>46243</v>
      </c>
      <c r="B15" t="str">
        <f>IFERROR(INDEX(registro!$A:$A, MATCH($A15, registro!C:C, 0))," ")</f>
        <v xml:space="preserve"> </v>
      </c>
      <c r="C15" t="str">
        <f>IFERROR(INDEX(registro!$A:$A, MATCH($A15, registro!D:D, 0))," ")</f>
        <v xml:space="preserve"> </v>
      </c>
      <c r="D15" t="str">
        <f>IFERROR(INDEX(registro!$A:$A, MATCH($A15, registro!E:E, 0))," ")</f>
        <v xml:space="preserve"> </v>
      </c>
      <c r="E15" t="str">
        <f>IFERROR(INDEX(registro!$A:$A, MATCH($A15, registro!F:F, 0))," ")</f>
        <v xml:space="preserve"> </v>
      </c>
      <c r="F15" t="str">
        <f>IFERROR(INDEX(registro!$A:$A, MATCH($A15, registro!G:G, 0))," ")</f>
        <v xml:space="preserve"> </v>
      </c>
      <c r="G15" t="str">
        <f>IFERROR(INDEX(registro!$A:$A, MATCH($A15, registro!H:H, 0))," ")</f>
        <v xml:space="preserve"> </v>
      </c>
    </row>
    <row r="16" spans="1:7" x14ac:dyDescent="0.25">
      <c r="A16" s="3">
        <v>46244</v>
      </c>
      <c r="B16" t="str">
        <f>IFERROR(INDEX(registro!$A:$A, MATCH($A16, registro!C:C, 0))," ")</f>
        <v xml:space="preserve"> </v>
      </c>
      <c r="C16" t="str">
        <f>IFERROR(INDEX(registro!$A:$A, MATCH($A16, registro!D:D, 0))," ")</f>
        <v xml:space="preserve"> </v>
      </c>
      <c r="D16" t="str">
        <f>IFERROR(INDEX(registro!$A:$A, MATCH($A16, registro!E:E, 0))," ")</f>
        <v xml:space="preserve"> </v>
      </c>
      <c r="E16" t="str">
        <f>IFERROR(INDEX(registro!$A:$A, MATCH($A16, registro!F:F, 0))," ")</f>
        <v xml:space="preserve"> </v>
      </c>
      <c r="F16" t="str">
        <f>IFERROR(INDEX(registro!$A:$A, MATCH($A16, registro!G:G, 0))," ")</f>
        <v xml:space="preserve"> </v>
      </c>
      <c r="G16" t="str">
        <f>IFERROR(INDEX(registro!$A:$A, MATCH($A16, registro!H:H, 0))," ")</f>
        <v xml:space="preserve"> </v>
      </c>
    </row>
    <row r="17" spans="1:7" x14ac:dyDescent="0.25">
      <c r="A17" s="3">
        <v>46245</v>
      </c>
      <c r="B17" t="str">
        <f>IFERROR(INDEX(registro!$A:$A, MATCH($A17, registro!C:C, 0))," ")</f>
        <v xml:space="preserve"> </v>
      </c>
      <c r="C17" t="str">
        <f>IFERROR(INDEX(registro!$A:$A, MATCH($A17, registro!D:D, 0))," ")</f>
        <v xml:space="preserve"> </v>
      </c>
      <c r="D17" t="str">
        <f>IFERROR(INDEX(registro!$A:$A, MATCH($A17, registro!E:E, 0))," ")</f>
        <v xml:space="preserve"> </v>
      </c>
      <c r="E17" t="str">
        <f>IFERROR(INDEX(registro!$A:$A, MATCH($A17, registro!F:F, 0))," ")</f>
        <v xml:space="preserve"> </v>
      </c>
      <c r="F17" t="str">
        <f>IFERROR(INDEX(registro!$A:$A, MATCH($A17, registro!G:G, 0))," ")</f>
        <v xml:space="preserve"> </v>
      </c>
      <c r="G17" t="str">
        <f>IFERROR(INDEX(registro!$A:$A, MATCH($A17, registro!H:H, 0))," ")</f>
        <v xml:space="preserve"> </v>
      </c>
    </row>
    <row r="18" spans="1:7" x14ac:dyDescent="0.25">
      <c r="A18" s="3">
        <v>46246</v>
      </c>
      <c r="B18" t="str">
        <f>IFERROR(INDEX(registro!$A:$A, MATCH($A18, registro!C:C, 0))," ")</f>
        <v xml:space="preserve"> </v>
      </c>
      <c r="C18" t="str">
        <f>IFERROR(INDEX(registro!$A:$A, MATCH($A18, registro!D:D, 0))," ")</f>
        <v xml:space="preserve"> </v>
      </c>
      <c r="D18" t="str">
        <f>IFERROR(INDEX(registro!$A:$A, MATCH($A18, registro!E:E, 0))," ")</f>
        <v xml:space="preserve"> </v>
      </c>
      <c r="E18" t="str">
        <f>IFERROR(INDEX(registro!$A:$A, MATCH($A18, registro!F:F, 0))," ")</f>
        <v xml:space="preserve"> </v>
      </c>
      <c r="F18" t="str">
        <f>IFERROR(INDEX(registro!$A:$A, MATCH($A18, registro!G:G, 0))," ")</f>
        <v xml:space="preserve"> </v>
      </c>
      <c r="G18" t="str">
        <f>IFERROR(INDEX(registro!$A:$A, MATCH($A18, registro!H:H, 0))," ")</f>
        <v xml:space="preserve"> </v>
      </c>
    </row>
    <row r="19" spans="1:7" x14ac:dyDescent="0.25">
      <c r="A19" s="3">
        <v>46247</v>
      </c>
      <c r="B19" t="str">
        <f>IFERROR(INDEX(registro!$A:$A, MATCH($A19, registro!C:C, 0))," ")</f>
        <v xml:space="preserve"> </v>
      </c>
      <c r="C19" t="str">
        <f>IFERROR(INDEX(registro!$A:$A, MATCH($A19, registro!D:D, 0))," ")</f>
        <v xml:space="preserve"> </v>
      </c>
      <c r="D19" t="str">
        <f>IFERROR(INDEX(registro!$A:$A, MATCH($A19, registro!E:E, 0))," ")</f>
        <v xml:space="preserve"> </v>
      </c>
      <c r="E19" t="str">
        <f>IFERROR(INDEX(registro!$A:$A, MATCH($A19, registro!F:F, 0))," ")</f>
        <v xml:space="preserve"> </v>
      </c>
      <c r="F19" t="str">
        <f>IFERROR(INDEX(registro!$A:$A, MATCH($A19, registro!G:G, 0))," ")</f>
        <v xml:space="preserve"> </v>
      </c>
      <c r="G19" t="str">
        <f>IFERROR(INDEX(registro!$A:$A, MATCH($A19, registro!H:H, 0))," ")</f>
        <v xml:space="preserve"> </v>
      </c>
    </row>
    <row r="20" spans="1:7" x14ac:dyDescent="0.25">
      <c r="A20" s="3">
        <v>46248</v>
      </c>
      <c r="B20" t="str">
        <f>IFERROR(INDEX(registro!$A:$A, MATCH($A20, registro!C:C, 0))," ")</f>
        <v xml:space="preserve"> </v>
      </c>
      <c r="C20" t="str">
        <f>IFERROR(INDEX(registro!$A:$A, MATCH($A20, registro!D:D, 0))," ")</f>
        <v xml:space="preserve"> </v>
      </c>
      <c r="D20" t="str">
        <f>IFERROR(INDEX(registro!$A:$A, MATCH($A20, registro!E:E, 0))," ")</f>
        <v xml:space="preserve"> </v>
      </c>
      <c r="E20" t="str">
        <f>IFERROR(INDEX(registro!$A:$A, MATCH($A20, registro!F:F, 0))," ")</f>
        <v xml:space="preserve"> </v>
      </c>
      <c r="F20" t="str">
        <f>IFERROR(INDEX(registro!$A:$A, MATCH($A20, registro!G:G, 0))," ")</f>
        <v xml:space="preserve"> </v>
      </c>
      <c r="G20" t="str">
        <f>IFERROR(INDEX(registro!$A:$A, MATCH($A20, registro!H:H, 0))," ")</f>
        <v xml:space="preserve"> </v>
      </c>
    </row>
    <row r="21" spans="1:7" x14ac:dyDescent="0.25">
      <c r="A21" s="3">
        <v>46249</v>
      </c>
      <c r="B21" t="str">
        <f>IFERROR(INDEX(registro!$A:$A, MATCH($A21, registro!C:C, 0))," ")</f>
        <v xml:space="preserve"> </v>
      </c>
      <c r="C21" t="str">
        <f>IFERROR(INDEX(registro!$A:$A, MATCH($A21, registro!D:D, 0))," ")</f>
        <v xml:space="preserve"> </v>
      </c>
      <c r="D21" t="str">
        <f>IFERROR(INDEX(registro!$A:$A, MATCH($A21, registro!E:E, 0))," ")</f>
        <v xml:space="preserve"> </v>
      </c>
      <c r="E21" t="str">
        <f>IFERROR(INDEX(registro!$A:$A, MATCH($A21, registro!F:F, 0))," ")</f>
        <v xml:space="preserve"> </v>
      </c>
      <c r="F21" t="str">
        <f>IFERROR(INDEX(registro!$A:$A, MATCH($A21, registro!G:G, 0))," ")</f>
        <v xml:space="preserve"> </v>
      </c>
      <c r="G21" t="str">
        <f>IFERROR(INDEX(registro!$A:$A, MATCH($A21, registro!H:H, 0))," ")</f>
        <v xml:space="preserve"> </v>
      </c>
    </row>
    <row r="22" spans="1:7" x14ac:dyDescent="0.25">
      <c r="A22" s="3">
        <v>46250</v>
      </c>
      <c r="B22" t="str">
        <f>IFERROR(INDEX(registro!$A:$A, MATCH($A22, registro!C:C, 0))," ")</f>
        <v xml:space="preserve"> </v>
      </c>
      <c r="C22" t="str">
        <f>IFERROR(INDEX(registro!$A:$A, MATCH($A22, registro!D:D, 0))," ")</f>
        <v xml:space="preserve"> </v>
      </c>
      <c r="D22" t="str">
        <f>IFERROR(INDEX(registro!$A:$A, MATCH($A22, registro!E:E, 0))," ")</f>
        <v xml:space="preserve"> </v>
      </c>
      <c r="E22" t="str">
        <f>IFERROR(INDEX(registro!$A:$A, MATCH($A22, registro!F:F, 0))," ")</f>
        <v xml:space="preserve"> </v>
      </c>
      <c r="F22" t="str">
        <f>IFERROR(INDEX(registro!$A:$A, MATCH($A22, registro!G:G, 0))," ")</f>
        <v xml:space="preserve"> </v>
      </c>
      <c r="G22" t="str">
        <f>IFERROR(INDEX(registro!$A:$A, MATCH($A22, registro!H:H, 0))," ")</f>
        <v xml:space="preserve"> </v>
      </c>
    </row>
    <row r="23" spans="1:7" x14ac:dyDescent="0.25">
      <c r="A23" s="3">
        <v>46251</v>
      </c>
      <c r="B23" t="str">
        <f>IFERROR(INDEX(registro!$A:$A, MATCH($A23, registro!C:C, 0))," ")</f>
        <v xml:space="preserve"> </v>
      </c>
      <c r="C23" t="str">
        <f>IFERROR(INDEX(registro!$A:$A, MATCH($A23, registro!D:D, 0))," ")</f>
        <v xml:space="preserve"> </v>
      </c>
      <c r="D23" t="str">
        <f>IFERROR(INDEX(registro!$A:$A, MATCH($A23, registro!E:E, 0))," ")</f>
        <v xml:space="preserve"> </v>
      </c>
      <c r="E23" t="str">
        <f>IFERROR(INDEX(registro!$A:$A, MATCH($A23, registro!F:F, 0))," ")</f>
        <v xml:space="preserve"> </v>
      </c>
      <c r="F23" t="str">
        <f>IFERROR(INDEX(registro!$A:$A, MATCH($A23, registro!G:G, 0))," ")</f>
        <v xml:space="preserve"> </v>
      </c>
      <c r="G23" t="str">
        <f>IFERROR(INDEX(registro!$A:$A, MATCH($A23, registro!H:H, 0))," ")</f>
        <v xml:space="preserve"> </v>
      </c>
    </row>
    <row r="24" spans="1:7" x14ac:dyDescent="0.25">
      <c r="A24" s="3">
        <v>46252</v>
      </c>
      <c r="B24" t="str">
        <f>IFERROR(INDEX(registro!$A:$A, MATCH($A24, registro!C:C, 0))," ")</f>
        <v xml:space="preserve"> </v>
      </c>
      <c r="C24" t="str">
        <f>IFERROR(INDEX(registro!$A:$A, MATCH($A24, registro!D:D, 0))," ")</f>
        <v xml:space="preserve"> </v>
      </c>
      <c r="D24" t="str">
        <f>IFERROR(INDEX(registro!$A:$A, MATCH($A24, registro!E:E, 0))," ")</f>
        <v xml:space="preserve"> </v>
      </c>
      <c r="E24" t="str">
        <f>IFERROR(INDEX(registro!$A:$A, MATCH($A24, registro!F:F, 0))," ")</f>
        <v xml:space="preserve"> </v>
      </c>
      <c r="F24" t="str">
        <f>IFERROR(INDEX(registro!$A:$A, MATCH($A24, registro!G:G, 0))," ")</f>
        <v xml:space="preserve"> </v>
      </c>
      <c r="G24" t="str">
        <f>IFERROR(INDEX(registro!$A:$A, MATCH($A24, registro!H:H, 0))," ")</f>
        <v xml:space="preserve"> </v>
      </c>
    </row>
    <row r="25" spans="1:7" x14ac:dyDescent="0.25">
      <c r="A25" s="3">
        <v>46253</v>
      </c>
      <c r="B25" t="str">
        <f>IFERROR(INDEX(registro!$A:$A, MATCH($A25, registro!C:C, 0))," ")</f>
        <v xml:space="preserve"> </v>
      </c>
      <c r="C25" t="str">
        <f>IFERROR(INDEX(registro!$A:$A, MATCH($A25, registro!D:D, 0))," ")</f>
        <v xml:space="preserve"> </v>
      </c>
      <c r="D25" t="str">
        <f>IFERROR(INDEX(registro!$A:$A, MATCH($A25, registro!E:E, 0))," ")</f>
        <v xml:space="preserve"> </v>
      </c>
      <c r="E25" t="str">
        <f>IFERROR(INDEX(registro!$A:$A, MATCH($A25, registro!F:F, 0))," ")</f>
        <v xml:space="preserve"> </v>
      </c>
      <c r="F25" t="str">
        <f>IFERROR(INDEX(registro!$A:$A, MATCH($A25, registro!G:G, 0))," ")</f>
        <v xml:space="preserve"> </v>
      </c>
      <c r="G25" t="str">
        <f>IFERROR(INDEX(registro!$A:$A, MATCH($A25, registro!H:H, 0))," ")</f>
        <v xml:space="preserve"> </v>
      </c>
    </row>
    <row r="26" spans="1:7" x14ac:dyDescent="0.25">
      <c r="A26" s="3">
        <v>46254</v>
      </c>
      <c r="B26" t="str">
        <f>IFERROR(INDEX(registro!$A:$A, MATCH($A26, registro!C:C, 0))," ")</f>
        <v xml:space="preserve"> </v>
      </c>
      <c r="C26" t="str">
        <f>IFERROR(INDEX(registro!$A:$A, MATCH($A26, registro!D:D, 0))," ")</f>
        <v xml:space="preserve"> </v>
      </c>
      <c r="D26" t="str">
        <f>IFERROR(INDEX(registro!$A:$A, MATCH($A26, registro!E:E, 0))," ")</f>
        <v xml:space="preserve"> </v>
      </c>
      <c r="E26" t="str">
        <f>IFERROR(INDEX(registro!$A:$A, MATCH($A26, registro!F:F, 0))," ")</f>
        <v xml:space="preserve"> </v>
      </c>
      <c r="F26" t="str">
        <f>IFERROR(INDEX(registro!$A:$A, MATCH($A26, registro!G:G, 0))," ")</f>
        <v xml:space="preserve"> </v>
      </c>
      <c r="G26" t="str">
        <f>IFERROR(INDEX(registro!$A:$A, MATCH($A26, registro!H:H, 0))," ")</f>
        <v xml:space="preserve"> </v>
      </c>
    </row>
    <row r="27" spans="1:7" x14ac:dyDescent="0.25">
      <c r="A27" s="3">
        <v>46255</v>
      </c>
      <c r="B27" t="str">
        <f>IFERROR(INDEX(registro!$A:$A, MATCH($A27, registro!C:C, 0))," ")</f>
        <v xml:space="preserve"> </v>
      </c>
      <c r="C27" t="str">
        <f>IFERROR(INDEX(registro!$A:$A, MATCH($A27, registro!D:D, 0))," ")</f>
        <v xml:space="preserve"> </v>
      </c>
      <c r="D27" t="str">
        <f>IFERROR(INDEX(registro!$A:$A, MATCH($A27, registro!E:E, 0))," ")</f>
        <v xml:space="preserve"> </v>
      </c>
      <c r="E27" t="str">
        <f>IFERROR(INDEX(registro!$A:$A, MATCH($A27, registro!F:F, 0))," ")</f>
        <v xml:space="preserve"> </v>
      </c>
      <c r="F27" t="str">
        <f>IFERROR(INDEX(registro!$A:$A, MATCH($A27, registro!G:G, 0))," ")</f>
        <v xml:space="preserve"> </v>
      </c>
      <c r="G27" t="str">
        <f>IFERROR(INDEX(registro!$A:$A, MATCH($A27, registro!H:H, 0))," ")</f>
        <v xml:space="preserve"> </v>
      </c>
    </row>
    <row r="28" spans="1:7" x14ac:dyDescent="0.25">
      <c r="A28" s="3">
        <v>46256</v>
      </c>
      <c r="B28" t="str">
        <f>IFERROR(INDEX(registro!$A:$A, MATCH($A28, registro!C:C, 0))," ")</f>
        <v xml:space="preserve"> </v>
      </c>
      <c r="C28" t="str">
        <f>IFERROR(INDEX(registro!$A:$A, MATCH($A28, registro!D:D, 0))," ")</f>
        <v xml:space="preserve"> </v>
      </c>
      <c r="D28" t="str">
        <f>IFERROR(INDEX(registro!$A:$A, MATCH($A28, registro!E:E, 0))," ")</f>
        <v xml:space="preserve"> </v>
      </c>
      <c r="E28" t="str">
        <f>IFERROR(INDEX(registro!$A:$A, MATCH($A28, registro!F:F, 0))," ")</f>
        <v xml:space="preserve"> </v>
      </c>
      <c r="F28" t="str">
        <f>IFERROR(INDEX(registro!$A:$A, MATCH($A28, registro!G:G, 0))," ")</f>
        <v xml:space="preserve"> </v>
      </c>
      <c r="G28" t="str">
        <f>IFERROR(INDEX(registro!$A:$A, MATCH($A28, registro!H:H, 0))," ")</f>
        <v xml:space="preserve"> </v>
      </c>
    </row>
    <row r="29" spans="1:7" x14ac:dyDescent="0.25">
      <c r="A29" s="3">
        <v>46257</v>
      </c>
      <c r="B29" t="str">
        <f>IFERROR(INDEX(registro!$A:$A, MATCH($A29, registro!C:C, 0))," ")</f>
        <v xml:space="preserve"> </v>
      </c>
      <c r="C29" t="str">
        <f>IFERROR(INDEX(registro!$A:$A, MATCH($A29, registro!D:D, 0))," ")</f>
        <v xml:space="preserve"> </v>
      </c>
      <c r="D29" t="str">
        <f>IFERROR(INDEX(registro!$A:$A, MATCH($A29, registro!E:E, 0))," ")</f>
        <v xml:space="preserve"> </v>
      </c>
      <c r="E29" t="str">
        <f>IFERROR(INDEX(registro!$A:$A, MATCH($A29, registro!F:F, 0))," ")</f>
        <v xml:space="preserve"> </v>
      </c>
      <c r="F29" t="str">
        <f>IFERROR(INDEX(registro!$A:$A, MATCH($A29, registro!G:G, 0))," ")</f>
        <v xml:space="preserve"> </v>
      </c>
      <c r="G29" t="str">
        <f>IFERROR(INDEX(registro!$A:$A, MATCH($A29, registro!H:H, 0))," ")</f>
        <v xml:space="preserve"> </v>
      </c>
    </row>
    <row r="30" spans="1:7" x14ac:dyDescent="0.25">
      <c r="A30" s="3">
        <v>46258</v>
      </c>
      <c r="B30" t="str">
        <f>IFERROR(INDEX(registro!$A:$A, MATCH($A30, registro!C:C, 0))," ")</f>
        <v xml:space="preserve"> </v>
      </c>
      <c r="C30" t="str">
        <f>IFERROR(INDEX(registro!$A:$A, MATCH($A30, registro!D:D, 0))," ")</f>
        <v xml:space="preserve"> </v>
      </c>
      <c r="D30" t="str">
        <f>IFERROR(INDEX(registro!$A:$A, MATCH($A30, registro!E:E, 0))," ")</f>
        <v xml:space="preserve"> </v>
      </c>
      <c r="E30" t="str">
        <f>IFERROR(INDEX(registro!$A:$A, MATCH($A30, registro!F:F, 0))," ")</f>
        <v xml:space="preserve"> </v>
      </c>
      <c r="F30" t="str">
        <f>IFERROR(INDEX(registro!$A:$A, MATCH($A30, registro!G:G, 0))," ")</f>
        <v xml:space="preserve"> </v>
      </c>
      <c r="G30" t="str">
        <f>IFERROR(INDEX(registro!$A:$A, MATCH($A30, registro!H:H, 0))," ")</f>
        <v xml:space="preserve"> </v>
      </c>
    </row>
    <row r="31" spans="1:7" x14ac:dyDescent="0.25">
      <c r="A31" s="3">
        <v>46259</v>
      </c>
      <c r="B31" t="str">
        <f>IFERROR(INDEX(registro!$A:$A, MATCH($A31, registro!C:C, 0))," ")</f>
        <v xml:space="preserve"> </v>
      </c>
      <c r="C31" t="str">
        <f>IFERROR(INDEX(registro!$A:$A, MATCH($A31, registro!D:D, 0))," ")</f>
        <v xml:space="preserve"> </v>
      </c>
      <c r="D31" t="str">
        <f>IFERROR(INDEX(registro!$A:$A, MATCH($A31, registro!E:E, 0))," ")</f>
        <v xml:space="preserve"> </v>
      </c>
      <c r="E31" t="str">
        <f>IFERROR(INDEX(registro!$A:$A, MATCH($A31, registro!F:F, 0))," ")</f>
        <v xml:space="preserve"> </v>
      </c>
      <c r="F31" t="str">
        <f>IFERROR(INDEX(registro!$A:$A, MATCH($A31, registro!G:G, 0))," ")</f>
        <v xml:space="preserve"> </v>
      </c>
      <c r="G31" t="str">
        <f>IFERROR(INDEX(registro!$A:$A, MATCH($A31, registro!H:H, 0))," ")</f>
        <v xml:space="preserve"> </v>
      </c>
    </row>
    <row r="32" spans="1:7" x14ac:dyDescent="0.25">
      <c r="A32" s="3">
        <v>46260</v>
      </c>
      <c r="B32" t="str">
        <f>IFERROR(INDEX(registro!$A:$A, MATCH($A32, registro!C:C, 0))," ")</f>
        <v xml:space="preserve"> </v>
      </c>
      <c r="C32" t="str">
        <f>IFERROR(INDEX(registro!$A:$A, MATCH($A32, registro!D:D, 0))," ")</f>
        <v xml:space="preserve"> </v>
      </c>
      <c r="D32" t="str">
        <f>IFERROR(INDEX(registro!$A:$A, MATCH($A32, registro!E:E, 0))," ")</f>
        <v xml:space="preserve"> </v>
      </c>
      <c r="E32" t="str">
        <f>IFERROR(INDEX(registro!$A:$A, MATCH($A32, registro!F:F, 0))," ")</f>
        <v xml:space="preserve"> </v>
      </c>
      <c r="F32" t="str">
        <f>IFERROR(INDEX(registro!$A:$A, MATCH($A32, registro!G:G, 0))," ")</f>
        <v xml:space="preserve"> </v>
      </c>
      <c r="G32" t="str">
        <f>IFERROR(INDEX(registro!$A:$A, MATCH($A32, registro!H:H, 0))," ")</f>
        <v xml:space="preserve"> </v>
      </c>
    </row>
    <row r="33" spans="1:7" x14ac:dyDescent="0.25">
      <c r="A33" s="3">
        <v>46261</v>
      </c>
      <c r="B33" t="str">
        <f>IFERROR(INDEX(registro!$A:$A, MATCH($A33, registro!C:C, 0))," ")</f>
        <v xml:space="preserve"> </v>
      </c>
      <c r="C33" t="str">
        <f>IFERROR(INDEX(registro!$A:$A, MATCH($A33, registro!D:D, 0))," ")</f>
        <v xml:space="preserve"> </v>
      </c>
      <c r="D33" t="str">
        <f>IFERROR(INDEX(registro!$A:$A, MATCH($A33, registro!E:E, 0))," ")</f>
        <v xml:space="preserve"> </v>
      </c>
      <c r="E33" t="str">
        <f>IFERROR(INDEX(registro!$A:$A, MATCH($A33, registro!F:F, 0))," ")</f>
        <v xml:space="preserve"> </v>
      </c>
      <c r="F33" t="str">
        <f>IFERROR(INDEX(registro!$A:$A, MATCH($A33, registro!G:G, 0))," ")</f>
        <v xml:space="preserve"> </v>
      </c>
      <c r="G33" t="str">
        <f>IFERROR(INDEX(registro!$A:$A, MATCH($A33, registro!H:H, 0))," ")</f>
        <v xml:space="preserve"> </v>
      </c>
    </row>
    <row r="34" spans="1:7" x14ac:dyDescent="0.25">
      <c r="A34" s="3">
        <v>46262</v>
      </c>
      <c r="B34" t="str">
        <f>IFERROR(INDEX(registro!$A:$A, MATCH($A34, registro!C:C, 0))," ")</f>
        <v xml:space="preserve"> </v>
      </c>
      <c r="C34" t="str">
        <f>IFERROR(INDEX(registro!$A:$A, MATCH($A34, registro!D:D, 0))," ")</f>
        <v xml:space="preserve"> </v>
      </c>
      <c r="D34" t="str">
        <f>IFERROR(INDEX(registro!$A:$A, MATCH($A34, registro!E:E, 0))," ")</f>
        <v xml:space="preserve"> </v>
      </c>
      <c r="E34" t="str">
        <f>IFERROR(INDEX(registro!$A:$A, MATCH($A34, registro!F:F, 0))," ")</f>
        <v xml:space="preserve"> </v>
      </c>
      <c r="F34" t="str">
        <f>IFERROR(INDEX(registro!$A:$A, MATCH($A34, registro!G:G, 0))," ")</f>
        <v xml:space="preserve"> </v>
      </c>
      <c r="G34" t="str">
        <f>IFERROR(INDEX(registro!$A:$A, MATCH($A34, registro!H:H, 0))," ")</f>
        <v xml:space="preserve"> </v>
      </c>
    </row>
    <row r="35" spans="1:7" x14ac:dyDescent="0.25">
      <c r="A35" s="3">
        <v>46263</v>
      </c>
      <c r="B35" t="str">
        <f>IFERROR(INDEX(registro!$A:$A, MATCH($A35, registro!C:C, 0))," ")</f>
        <v xml:space="preserve"> </v>
      </c>
      <c r="C35" t="str">
        <f>IFERROR(INDEX(registro!$A:$A, MATCH($A35, registro!D:D, 0))," ")</f>
        <v xml:space="preserve"> </v>
      </c>
      <c r="D35" t="str">
        <f>IFERROR(INDEX(registro!$A:$A, MATCH($A35, registro!E:E, 0))," ")</f>
        <v xml:space="preserve"> </v>
      </c>
      <c r="E35" t="str">
        <f>IFERROR(INDEX(registro!$A:$A, MATCH($A35, registro!F:F, 0))," ")</f>
        <v xml:space="preserve"> </v>
      </c>
      <c r="F35" t="str">
        <f>IFERROR(INDEX(registro!$A:$A, MATCH($A35, registro!G:G, 0))," ")</f>
        <v xml:space="preserve"> </v>
      </c>
      <c r="G35" t="str">
        <f>IFERROR(INDEX(registro!$A:$A, MATCH($A35, registro!H:H, 0))," ")</f>
        <v xml:space="preserve"> </v>
      </c>
    </row>
    <row r="36" spans="1:7" x14ac:dyDescent="0.25">
      <c r="A36" s="3">
        <v>46264</v>
      </c>
      <c r="B36" t="str">
        <f>IFERROR(INDEX(registro!$A:$A, MATCH($A36, registro!C:C, 0))," ")</f>
        <v xml:space="preserve"> </v>
      </c>
      <c r="C36" t="str">
        <f>IFERROR(INDEX(registro!$A:$A, MATCH($A36, registro!D:D, 0))," ")</f>
        <v xml:space="preserve"> </v>
      </c>
      <c r="D36" t="str">
        <f>IFERROR(INDEX(registro!$A:$A, MATCH($A36, registro!E:E, 0))," ")</f>
        <v xml:space="preserve"> </v>
      </c>
      <c r="E36" t="str">
        <f>IFERROR(INDEX(registro!$A:$A, MATCH($A36, registro!F:F, 0))," ")</f>
        <v xml:space="preserve"> </v>
      </c>
      <c r="F36" t="str">
        <f>IFERROR(INDEX(registro!$A:$A, MATCH($A36, registro!G:G, 0))," ")</f>
        <v xml:space="preserve"> </v>
      </c>
      <c r="G36" t="str">
        <f>IFERROR(INDEX(registro!$A:$A, MATCH($A36, registro!H:H, 0))," ")</f>
        <v xml:space="preserve"> </v>
      </c>
    </row>
    <row r="37" spans="1:7" x14ac:dyDescent="0.25">
      <c r="A37" s="3">
        <v>46265</v>
      </c>
      <c r="B37" t="str">
        <f>IFERROR(INDEX(registro!$A:$A, MATCH($A37, registro!C:C, 0))," ")</f>
        <v xml:space="preserve"> </v>
      </c>
      <c r="C37" t="str">
        <f>IFERROR(INDEX(registro!$A:$A, MATCH($A37, registro!D:D, 0))," ")</f>
        <v xml:space="preserve"> </v>
      </c>
      <c r="D37" t="str">
        <f>IFERROR(INDEX(registro!$A:$A, MATCH($A37, registro!E:E, 0))," ")</f>
        <v xml:space="preserve"> </v>
      </c>
      <c r="E37" t="str">
        <f>IFERROR(INDEX(registro!$A:$A, MATCH($A37, registro!F:F, 0))," ")</f>
        <v xml:space="preserve"> </v>
      </c>
      <c r="F37" t="str">
        <f>IFERROR(INDEX(registro!$A:$A, MATCH($A37, registro!G:G, 0))," ")</f>
        <v xml:space="preserve"> </v>
      </c>
      <c r="G37" t="str">
        <f>IFERROR(INDEX(registro!$A:$A, MATCH($A37, registro!H:H, 0))," ")</f>
        <v xml:space="preserve"> </v>
      </c>
    </row>
    <row r="38" spans="1:7" x14ac:dyDescent="0.25">
      <c r="A38" s="3">
        <v>46266</v>
      </c>
      <c r="B38" t="str">
        <f>IFERROR(INDEX(registro!$A:$A, MATCH($A38, registro!C:C, 0))," ")</f>
        <v xml:space="preserve"> </v>
      </c>
      <c r="C38" t="str">
        <f>IFERROR(INDEX(registro!$A:$A, MATCH($A38, registro!D:D, 0))," ")</f>
        <v xml:space="preserve"> </v>
      </c>
      <c r="D38" t="str">
        <f>IFERROR(INDEX(registro!$A:$A, MATCH($A38, registro!E:E, 0))," ")</f>
        <v xml:space="preserve"> </v>
      </c>
      <c r="E38" t="str">
        <f>IFERROR(INDEX(registro!$A:$A, MATCH($A38, registro!F:F, 0))," ")</f>
        <v xml:space="preserve"> </v>
      </c>
      <c r="F38" t="str">
        <f>IFERROR(INDEX(registro!$A:$A, MATCH($A38, registro!G:G, 0))," ")</f>
        <v xml:space="preserve"> </v>
      </c>
      <c r="G38" t="str">
        <f>IFERROR(INDEX(registro!$A:$A, MATCH($A38, registro!H:H, 0))," ")</f>
        <v xml:space="preserve"> </v>
      </c>
    </row>
    <row r="39" spans="1:7" x14ac:dyDescent="0.25">
      <c r="A39" s="3">
        <v>46267</v>
      </c>
      <c r="B39" t="str">
        <f>IFERROR(INDEX(registro!$A:$A, MATCH($A39, registro!C:C, 0))," ")</f>
        <v xml:space="preserve"> </v>
      </c>
      <c r="C39" t="str">
        <f>IFERROR(INDEX(registro!$A:$A, MATCH($A39, registro!D:D, 0))," ")</f>
        <v xml:space="preserve"> </v>
      </c>
      <c r="D39" t="str">
        <f>IFERROR(INDEX(registro!$A:$A, MATCH($A39, registro!E:E, 0))," ")</f>
        <v xml:space="preserve"> </v>
      </c>
      <c r="E39" t="str">
        <f>IFERROR(INDEX(registro!$A:$A, MATCH($A39, registro!F:F, 0))," ")</f>
        <v xml:space="preserve"> </v>
      </c>
      <c r="F39" t="str">
        <f>IFERROR(INDEX(registro!$A:$A, MATCH($A39, registro!G:G, 0))," ")</f>
        <v xml:space="preserve"> </v>
      </c>
      <c r="G39" t="str">
        <f>IFERROR(INDEX(registro!$A:$A, MATCH($A39, registro!H:H, 0))," ")</f>
        <v xml:space="preserve"> </v>
      </c>
    </row>
    <row r="40" spans="1:7" x14ac:dyDescent="0.25">
      <c r="A40" s="3">
        <v>46268</v>
      </c>
      <c r="B40" t="str">
        <f>IFERROR(INDEX(registro!$A:$A, MATCH($A40, registro!C:C, 0))," ")</f>
        <v xml:space="preserve"> </v>
      </c>
      <c r="C40" t="str">
        <f>IFERROR(INDEX(registro!$A:$A, MATCH($A40, registro!D:D, 0))," ")</f>
        <v xml:space="preserve"> </v>
      </c>
      <c r="D40" t="str">
        <f>IFERROR(INDEX(registro!$A:$A, MATCH($A40, registro!E:E, 0))," ")</f>
        <v xml:space="preserve"> </v>
      </c>
      <c r="E40" t="str">
        <f>IFERROR(INDEX(registro!$A:$A, MATCH($A40, registro!F:F, 0))," ")</f>
        <v>Português - Classes gramaticais</v>
      </c>
      <c r="F40" t="str">
        <f>IFERROR(INDEX(registro!$A:$A, MATCH($A40, registro!G:G, 0))," ")</f>
        <v xml:space="preserve"> </v>
      </c>
      <c r="G40" t="str">
        <f>IFERROR(INDEX(registro!$A:$A, MATCH($A40, registro!H:H, 0))," ")</f>
        <v xml:space="preserve"> </v>
      </c>
    </row>
    <row r="41" spans="1:7" x14ac:dyDescent="0.25">
      <c r="A41" s="3">
        <v>46269</v>
      </c>
      <c r="B41" t="str">
        <f>IFERROR(INDEX(registro!$A:$A, MATCH($A41, registro!C:C, 0))," ")</f>
        <v xml:space="preserve"> </v>
      </c>
      <c r="C41" t="str">
        <f>IFERROR(INDEX(registro!$A:$A, MATCH($A41, registro!D:D, 0))," ")</f>
        <v xml:space="preserve"> </v>
      </c>
      <c r="D41" t="str">
        <f>IFERROR(INDEX(registro!$A:$A, MATCH($A41, registro!E:E, 0))," ")</f>
        <v xml:space="preserve"> </v>
      </c>
      <c r="E41" t="str">
        <f>IFERROR(INDEX(registro!$A:$A, MATCH($A41, registro!F:F, 0))," ")</f>
        <v xml:space="preserve"> </v>
      </c>
      <c r="F41" t="str">
        <f>IFERROR(INDEX(registro!$A:$A, MATCH($A41, registro!G:G, 0))," ")</f>
        <v xml:space="preserve"> </v>
      </c>
      <c r="G41" t="str">
        <f>IFERROR(INDEX(registro!$A:$A, MATCH($A41, registro!H:H, 0))," ")</f>
        <v xml:space="preserve"> </v>
      </c>
    </row>
    <row r="42" spans="1:7" x14ac:dyDescent="0.25">
      <c r="A42" s="3">
        <v>46270</v>
      </c>
      <c r="B42" t="str">
        <f>IFERROR(INDEX(registro!$A:$A, MATCH($A42, registro!C:C, 0))," ")</f>
        <v xml:space="preserve"> </v>
      </c>
      <c r="C42" t="str">
        <f>IFERROR(INDEX(registro!$A:$A, MATCH($A42, registro!D:D, 0))," ")</f>
        <v xml:space="preserve"> </v>
      </c>
      <c r="D42" t="str">
        <f>IFERROR(INDEX(registro!$A:$A, MATCH($A42, registro!E:E, 0))," ")</f>
        <v xml:space="preserve"> </v>
      </c>
      <c r="E42" t="str">
        <f>IFERROR(INDEX(registro!$A:$A, MATCH($A42, registro!F:F, 0))," ")</f>
        <v xml:space="preserve"> </v>
      </c>
      <c r="F42" t="str">
        <f>IFERROR(INDEX(registro!$A:$A, MATCH($A42, registro!G:G, 0))," ")</f>
        <v xml:space="preserve"> </v>
      </c>
      <c r="G42" t="str">
        <f>IFERROR(INDEX(registro!$A:$A, MATCH($A42, registro!H:H, 0))," ")</f>
        <v xml:space="preserve"> </v>
      </c>
    </row>
    <row r="43" spans="1:7" x14ac:dyDescent="0.25">
      <c r="A43" s="3">
        <v>46271</v>
      </c>
      <c r="B43" t="str">
        <f>IFERROR(INDEX(registro!$A:$A, MATCH($A43, registro!C:C, 0))," ")</f>
        <v xml:space="preserve"> </v>
      </c>
      <c r="C43" t="str">
        <f>IFERROR(INDEX(registro!$A:$A, MATCH($A43, registro!D:D, 0))," ")</f>
        <v xml:space="preserve"> </v>
      </c>
      <c r="D43" t="str">
        <f>IFERROR(INDEX(registro!$A:$A, MATCH($A43, registro!E:E, 0))," ")</f>
        <v xml:space="preserve"> </v>
      </c>
      <c r="E43" t="str">
        <f>IFERROR(INDEX(registro!$A:$A, MATCH($A43, registro!F:F, 0))," ")</f>
        <v xml:space="preserve"> </v>
      </c>
      <c r="F43" t="str">
        <f>IFERROR(INDEX(registro!$A:$A, MATCH($A43, registro!G:G, 0))," ")</f>
        <v xml:space="preserve"> </v>
      </c>
      <c r="G43" t="str">
        <f>IFERROR(INDEX(registro!$A:$A, MATCH($A43, registro!H:H, 0))," ")</f>
        <v xml:space="preserve"> </v>
      </c>
    </row>
    <row r="44" spans="1:7" x14ac:dyDescent="0.25">
      <c r="A44" s="3">
        <v>46272</v>
      </c>
      <c r="B44" t="str">
        <f>IFERROR(INDEX(registro!$A:$A, MATCH($A44, registro!C:C, 0))," ")</f>
        <v xml:space="preserve"> </v>
      </c>
      <c r="C44" t="str">
        <f>IFERROR(INDEX(registro!$A:$A, MATCH($A44, registro!D:D, 0))," ")</f>
        <v xml:space="preserve"> </v>
      </c>
      <c r="D44" t="str">
        <f>IFERROR(INDEX(registro!$A:$A, MATCH($A44, registro!E:E, 0))," ")</f>
        <v xml:space="preserve"> </v>
      </c>
      <c r="E44" t="str">
        <f>IFERROR(INDEX(registro!$A:$A, MATCH($A44, registro!F:F, 0))," ")</f>
        <v xml:space="preserve"> </v>
      </c>
      <c r="F44" t="str">
        <f>IFERROR(INDEX(registro!$A:$A, MATCH($A44, registro!G:G, 0))," ")</f>
        <v xml:space="preserve"> </v>
      </c>
      <c r="G44" t="str">
        <f>IFERROR(INDEX(registro!$A:$A, MATCH($A44, registro!H:H, 0))," ")</f>
        <v xml:space="preserve"> </v>
      </c>
    </row>
    <row r="45" spans="1:7" x14ac:dyDescent="0.25">
      <c r="A45" s="3">
        <v>46273</v>
      </c>
      <c r="B45" t="str">
        <f>IFERROR(INDEX(registro!$A:$A, MATCH($A45, registro!C:C, 0))," ")</f>
        <v xml:space="preserve"> </v>
      </c>
      <c r="C45" t="str">
        <f>IFERROR(INDEX(registro!$A:$A, MATCH($A45, registro!D:D, 0))," ")</f>
        <v xml:space="preserve"> </v>
      </c>
      <c r="D45" t="str">
        <f>IFERROR(INDEX(registro!$A:$A, MATCH($A45, registro!E:E, 0))," ")</f>
        <v xml:space="preserve"> </v>
      </c>
      <c r="E45" t="str">
        <f>IFERROR(INDEX(registro!$A:$A, MATCH($A45, registro!F:F, 0))," ")</f>
        <v xml:space="preserve"> </v>
      </c>
      <c r="F45" t="str">
        <f>IFERROR(INDEX(registro!$A:$A, MATCH($A45, registro!G:G, 0))," ")</f>
        <v xml:space="preserve"> </v>
      </c>
      <c r="G45" t="str">
        <f>IFERROR(INDEX(registro!$A:$A, MATCH($A45, registro!H:H, 0))," ")</f>
        <v xml:space="preserve"> </v>
      </c>
    </row>
    <row r="46" spans="1:7" x14ac:dyDescent="0.25">
      <c r="A46" s="3">
        <v>46274</v>
      </c>
      <c r="B46" t="str">
        <f>IFERROR(INDEX(registro!$A:$A, MATCH($A46, registro!C:C, 0))," ")</f>
        <v xml:space="preserve"> </v>
      </c>
      <c r="C46" t="str">
        <f>IFERROR(INDEX(registro!$A:$A, MATCH($A46, registro!D:D, 0))," ")</f>
        <v xml:space="preserve"> </v>
      </c>
      <c r="D46" t="str">
        <f>IFERROR(INDEX(registro!$A:$A, MATCH($A46, registro!E:E, 0))," ")</f>
        <v xml:space="preserve"> </v>
      </c>
      <c r="E46" t="str">
        <f>IFERROR(INDEX(registro!$A:$A, MATCH($A46, registro!F:F, 0))," ")</f>
        <v xml:space="preserve"> </v>
      </c>
      <c r="F46" t="str">
        <f>IFERROR(INDEX(registro!$A:$A, MATCH($A46, registro!G:G, 0))," ")</f>
        <v xml:space="preserve"> </v>
      </c>
      <c r="G46" t="str">
        <f>IFERROR(INDEX(registro!$A:$A, MATCH($A46, registro!H:H, 0))," ")</f>
        <v xml:space="preserve"> </v>
      </c>
    </row>
    <row r="47" spans="1:7" x14ac:dyDescent="0.25">
      <c r="A47" s="3">
        <v>46275</v>
      </c>
      <c r="B47" t="str">
        <f>IFERROR(INDEX(registro!$A:$A, MATCH($A47, registro!C:C, 0))," ")</f>
        <v xml:space="preserve"> </v>
      </c>
      <c r="C47" t="str">
        <f>IFERROR(INDEX(registro!$A:$A, MATCH($A47, registro!D:D, 0))," ")</f>
        <v xml:space="preserve"> </v>
      </c>
      <c r="D47" t="str">
        <f>IFERROR(INDEX(registro!$A:$A, MATCH($A47, registro!E:E, 0))," ")</f>
        <v xml:space="preserve"> </v>
      </c>
      <c r="E47" t="str">
        <f>IFERROR(INDEX(registro!$A:$A, MATCH($A47, registro!F:F, 0))," ")</f>
        <v xml:space="preserve"> </v>
      </c>
      <c r="F47" t="str">
        <f>IFERROR(INDEX(registro!$A:$A, MATCH($A47, registro!G:G, 0))," ")</f>
        <v xml:space="preserve"> </v>
      </c>
      <c r="G47" t="str">
        <f>IFERROR(INDEX(registro!$A:$A, MATCH($A47, registro!H:H, 0))," ")</f>
        <v xml:space="preserve"> </v>
      </c>
    </row>
    <row r="48" spans="1:7" x14ac:dyDescent="0.25">
      <c r="A48" s="3">
        <v>46276</v>
      </c>
      <c r="B48" t="str">
        <f>IFERROR(INDEX(registro!$A:$A, MATCH($A48, registro!C:C, 0))," ")</f>
        <v xml:space="preserve"> </v>
      </c>
      <c r="C48" t="str">
        <f>IFERROR(INDEX(registro!$A:$A, MATCH($A48, registro!D:D, 0))," ")</f>
        <v xml:space="preserve"> </v>
      </c>
      <c r="D48" t="str">
        <f>IFERROR(INDEX(registro!$A:$A, MATCH($A48, registro!E:E, 0))," ")</f>
        <v xml:space="preserve"> </v>
      </c>
      <c r="E48" t="str">
        <f>IFERROR(INDEX(registro!$A:$A, MATCH($A48, registro!F:F, 0))," ")</f>
        <v xml:space="preserve"> </v>
      </c>
      <c r="F48" t="str">
        <f>IFERROR(INDEX(registro!$A:$A, MATCH($A48, registro!G:G, 0))," ")</f>
        <v xml:space="preserve"> </v>
      </c>
      <c r="G48" t="str">
        <f>IFERROR(INDEX(registro!$A:$A, MATCH($A48, registro!H:H, 0))," ")</f>
        <v xml:space="preserve"> </v>
      </c>
    </row>
    <row r="49" spans="1:7" x14ac:dyDescent="0.25">
      <c r="A49" s="3">
        <v>46277</v>
      </c>
      <c r="B49" t="str">
        <f>IFERROR(INDEX(registro!$A:$A, MATCH($A49, registro!C:C, 0))," ")</f>
        <v xml:space="preserve"> </v>
      </c>
      <c r="C49" t="str">
        <f>IFERROR(INDEX(registro!$A:$A, MATCH($A49, registro!D:D, 0))," ")</f>
        <v xml:space="preserve"> </v>
      </c>
      <c r="D49" t="str">
        <f>IFERROR(INDEX(registro!$A:$A, MATCH($A49, registro!E:E, 0))," ")</f>
        <v xml:space="preserve"> </v>
      </c>
      <c r="E49" t="str">
        <f>IFERROR(INDEX(registro!$A:$A, MATCH($A49, registro!F:F, 0))," ")</f>
        <v xml:space="preserve"> </v>
      </c>
      <c r="F49" t="str">
        <f>IFERROR(INDEX(registro!$A:$A, MATCH($A49, registro!G:G, 0))," ")</f>
        <v xml:space="preserve"> </v>
      </c>
      <c r="G49" t="str">
        <f>IFERROR(INDEX(registro!$A:$A, MATCH($A49, registro!H:H, 0))," ")</f>
        <v xml:space="preserve"> </v>
      </c>
    </row>
    <row r="50" spans="1:7" x14ac:dyDescent="0.25">
      <c r="A50" s="3">
        <v>46278</v>
      </c>
      <c r="B50" t="str">
        <f>IFERROR(INDEX(registro!$A:$A, MATCH($A50, registro!C:C, 0))," ")</f>
        <v xml:space="preserve"> </v>
      </c>
      <c r="C50" t="str">
        <f>IFERROR(INDEX(registro!$A:$A, MATCH($A50, registro!D:D, 0))," ")</f>
        <v xml:space="preserve"> </v>
      </c>
      <c r="D50" t="str">
        <f>IFERROR(INDEX(registro!$A:$A, MATCH($A50, registro!E:E, 0))," ")</f>
        <v xml:space="preserve"> </v>
      </c>
      <c r="E50" t="str">
        <f>IFERROR(INDEX(registro!$A:$A, MATCH($A50, registro!F:F, 0))," ")</f>
        <v xml:space="preserve"> </v>
      </c>
      <c r="F50" t="str">
        <f>IFERROR(INDEX(registro!$A:$A, MATCH($A50, registro!G:G, 0))," ")</f>
        <v xml:space="preserve"> </v>
      </c>
      <c r="G50" t="str">
        <f>IFERROR(INDEX(registro!$A:$A, MATCH($A50, registro!H:H, 0))," ")</f>
        <v xml:space="preserve"> </v>
      </c>
    </row>
    <row r="51" spans="1:7" x14ac:dyDescent="0.25">
      <c r="A51" s="3">
        <v>46279</v>
      </c>
      <c r="B51" t="str">
        <f>IFERROR(INDEX(registro!$A:$A, MATCH($A51, registro!C:C, 0))," ")</f>
        <v xml:space="preserve"> </v>
      </c>
      <c r="C51" t="str">
        <f>IFERROR(INDEX(registro!$A:$A, MATCH($A51, registro!D:D, 0))," ")</f>
        <v xml:space="preserve"> </v>
      </c>
      <c r="D51" t="str">
        <f>IFERROR(INDEX(registro!$A:$A, MATCH($A51, registro!E:E, 0))," ")</f>
        <v xml:space="preserve"> </v>
      </c>
      <c r="E51" t="str">
        <f>IFERROR(INDEX(registro!$A:$A, MATCH($A51, registro!F:F, 0))," ")</f>
        <v xml:space="preserve"> </v>
      </c>
      <c r="F51" t="str">
        <f>IFERROR(INDEX(registro!$A:$A, MATCH($A51, registro!G:G, 0))," ")</f>
        <v xml:space="preserve"> </v>
      </c>
      <c r="G51" t="str">
        <f>IFERROR(INDEX(registro!$A:$A, MATCH($A51, registro!H:H, 0))," ")</f>
        <v xml:space="preserve"> </v>
      </c>
    </row>
    <row r="52" spans="1:7" x14ac:dyDescent="0.25">
      <c r="A52" s="3">
        <v>46280</v>
      </c>
      <c r="B52" t="str">
        <f>IFERROR(INDEX(registro!$A:$A, MATCH($A52, registro!C:C, 0))," ")</f>
        <v xml:space="preserve"> </v>
      </c>
      <c r="C52" t="str">
        <f>IFERROR(INDEX(registro!$A:$A, MATCH($A52, registro!D:D, 0))," ")</f>
        <v xml:space="preserve"> </v>
      </c>
      <c r="D52" t="str">
        <f>IFERROR(INDEX(registro!$A:$A, MATCH($A52, registro!E:E, 0))," ")</f>
        <v xml:space="preserve"> </v>
      </c>
      <c r="E52" t="str">
        <f>IFERROR(INDEX(registro!$A:$A, MATCH($A52, registro!F:F, 0))," ")</f>
        <v xml:space="preserve"> </v>
      </c>
      <c r="F52" t="str">
        <f>IFERROR(INDEX(registro!$A:$A, MATCH($A52, registro!G:G, 0))," ")</f>
        <v xml:space="preserve"> </v>
      </c>
      <c r="G52" t="str">
        <f>IFERROR(INDEX(registro!$A:$A, MATCH($A52, registro!H:H, 0))," ")</f>
        <v xml:space="preserve"> </v>
      </c>
    </row>
    <row r="53" spans="1:7" x14ac:dyDescent="0.25">
      <c r="A53" s="3">
        <v>46281</v>
      </c>
      <c r="B53" t="str">
        <f>IFERROR(INDEX(registro!$A:$A, MATCH($A53, registro!C:C, 0))," ")</f>
        <v xml:space="preserve"> </v>
      </c>
      <c r="C53" t="str">
        <f>IFERROR(INDEX(registro!$A:$A, MATCH($A53, registro!D:D, 0))," ")</f>
        <v xml:space="preserve"> </v>
      </c>
      <c r="D53" t="str">
        <f>IFERROR(INDEX(registro!$A:$A, MATCH($A53, registro!E:E, 0))," ")</f>
        <v xml:space="preserve"> </v>
      </c>
      <c r="E53" t="str">
        <f>IFERROR(INDEX(registro!$A:$A, MATCH($A53, registro!F:F, 0))," ")</f>
        <v xml:space="preserve"> </v>
      </c>
      <c r="F53" t="str">
        <f>IFERROR(INDEX(registro!$A:$A, MATCH($A53, registro!G:G, 0))," ")</f>
        <v xml:space="preserve"> </v>
      </c>
      <c r="G53" t="str">
        <f>IFERROR(INDEX(registro!$A:$A, MATCH($A53, registro!H:H, 0))," ")</f>
        <v xml:space="preserve"> </v>
      </c>
    </row>
    <row r="54" spans="1:7" x14ac:dyDescent="0.25">
      <c r="A54" s="3">
        <v>46282</v>
      </c>
      <c r="B54" t="str">
        <f>IFERROR(INDEX(registro!$A:$A, MATCH($A54, registro!C:C, 0))," ")</f>
        <v xml:space="preserve"> </v>
      </c>
      <c r="C54" t="str">
        <f>IFERROR(INDEX(registro!$A:$A, MATCH($A54, registro!D:D, 0))," ")</f>
        <v xml:space="preserve"> </v>
      </c>
      <c r="D54" t="str">
        <f>IFERROR(INDEX(registro!$A:$A, MATCH($A54, registro!E:E, 0))," ")</f>
        <v xml:space="preserve"> </v>
      </c>
      <c r="E54" t="str">
        <f>IFERROR(INDEX(registro!$A:$A, MATCH($A54, registro!F:F, 0))," ")</f>
        <v xml:space="preserve"> </v>
      </c>
      <c r="F54" t="str">
        <f>IFERROR(INDEX(registro!$A:$A, MATCH($A54, registro!G:G, 0))," ")</f>
        <v xml:space="preserve"> </v>
      </c>
      <c r="G54" t="str">
        <f>IFERROR(INDEX(registro!$A:$A, MATCH($A54, registro!H:H, 0))," ")</f>
        <v xml:space="preserve"> </v>
      </c>
    </row>
    <row r="55" spans="1:7" x14ac:dyDescent="0.25">
      <c r="A55" s="3">
        <v>46283</v>
      </c>
      <c r="B55" t="str">
        <f>IFERROR(INDEX(registro!$A:$A, MATCH($A55, registro!C:C, 0))," ")</f>
        <v xml:space="preserve"> </v>
      </c>
      <c r="C55" t="str">
        <f>IFERROR(INDEX(registro!$A:$A, MATCH($A55, registro!D:D, 0))," ")</f>
        <v xml:space="preserve"> </v>
      </c>
      <c r="D55" t="str">
        <f>IFERROR(INDEX(registro!$A:$A, MATCH($A55, registro!E:E, 0))," ")</f>
        <v xml:space="preserve"> </v>
      </c>
      <c r="E55" t="str">
        <f>IFERROR(INDEX(registro!$A:$A, MATCH($A55, registro!F:F, 0))," ")</f>
        <v xml:space="preserve"> </v>
      </c>
      <c r="F55" t="str">
        <f>IFERROR(INDEX(registro!$A:$A, MATCH($A55, registro!G:G, 0))," ")</f>
        <v xml:space="preserve"> </v>
      </c>
      <c r="G55" t="str">
        <f>IFERROR(INDEX(registro!$A:$A, MATCH($A55, registro!H:H, 0))," ")</f>
        <v xml:space="preserve"> </v>
      </c>
    </row>
    <row r="56" spans="1:7" x14ac:dyDescent="0.25">
      <c r="A56" s="3">
        <v>46284</v>
      </c>
      <c r="B56" t="str">
        <f>IFERROR(INDEX(registro!$A:$A, MATCH($A56, registro!C:C, 0))," ")</f>
        <v xml:space="preserve"> </v>
      </c>
      <c r="C56" t="str">
        <f>IFERROR(INDEX(registro!$A:$A, MATCH($A56, registro!D:D, 0))," ")</f>
        <v xml:space="preserve"> </v>
      </c>
      <c r="D56" t="str">
        <f>IFERROR(INDEX(registro!$A:$A, MATCH($A56, registro!E:E, 0))," ")</f>
        <v xml:space="preserve"> </v>
      </c>
      <c r="E56" t="str">
        <f>IFERROR(INDEX(registro!$A:$A, MATCH($A56, registro!F:F, 0))," ")</f>
        <v xml:space="preserve"> </v>
      </c>
      <c r="F56" t="str">
        <f>IFERROR(INDEX(registro!$A:$A, MATCH($A56, registro!G:G, 0))," ")</f>
        <v xml:space="preserve"> </v>
      </c>
      <c r="G56" t="str">
        <f>IFERROR(INDEX(registro!$A:$A, MATCH($A56, registro!H:H, 0))," ")</f>
        <v xml:space="preserve"> </v>
      </c>
    </row>
    <row r="57" spans="1:7" x14ac:dyDescent="0.25">
      <c r="A57" s="3">
        <v>46285</v>
      </c>
      <c r="B57" t="str">
        <f>IFERROR(INDEX(registro!$A:$A, MATCH($A57, registro!C:C, 0))," ")</f>
        <v xml:space="preserve"> </v>
      </c>
      <c r="C57" t="str">
        <f>IFERROR(INDEX(registro!$A:$A, MATCH($A57, registro!D:D, 0))," ")</f>
        <v xml:space="preserve"> </v>
      </c>
      <c r="D57" t="str">
        <f>IFERROR(INDEX(registro!$A:$A, MATCH($A57, registro!E:E, 0))," ")</f>
        <v xml:space="preserve"> </v>
      </c>
      <c r="E57" t="str">
        <f>IFERROR(INDEX(registro!$A:$A, MATCH($A57, registro!F:F, 0))," ")</f>
        <v xml:space="preserve"> </v>
      </c>
      <c r="F57" t="str">
        <f>IFERROR(INDEX(registro!$A:$A, MATCH($A57, registro!G:G, 0))," ")</f>
        <v xml:space="preserve"> </v>
      </c>
      <c r="G57" t="str">
        <f>IFERROR(INDEX(registro!$A:$A, MATCH($A57, registro!H:H, 0))," ")</f>
        <v xml:space="preserve"> </v>
      </c>
    </row>
    <row r="58" spans="1:7" x14ac:dyDescent="0.25">
      <c r="A58" s="3">
        <v>46286</v>
      </c>
      <c r="B58" t="str">
        <f>IFERROR(INDEX(registro!$A:$A, MATCH($A58, registro!C:C, 0))," ")</f>
        <v xml:space="preserve"> </v>
      </c>
      <c r="C58" t="str">
        <f>IFERROR(INDEX(registro!$A:$A, MATCH($A58, registro!D:D, 0))," ")</f>
        <v xml:space="preserve"> </v>
      </c>
      <c r="D58" t="str">
        <f>IFERROR(INDEX(registro!$A:$A, MATCH($A58, registro!E:E, 0))," ")</f>
        <v xml:space="preserve"> </v>
      </c>
      <c r="E58" t="str">
        <f>IFERROR(INDEX(registro!$A:$A, MATCH($A58, registro!F:F, 0))," ")</f>
        <v xml:space="preserve"> </v>
      </c>
      <c r="F58" t="str">
        <f>IFERROR(INDEX(registro!$A:$A, MATCH($A58, registro!G:G, 0))," ")</f>
        <v xml:space="preserve"> </v>
      </c>
      <c r="G58" t="str">
        <f>IFERROR(INDEX(registro!$A:$A, MATCH($A58, registro!H:H, 0))," ")</f>
        <v xml:space="preserve"> </v>
      </c>
    </row>
    <row r="59" spans="1:7" x14ac:dyDescent="0.25">
      <c r="A59" s="3">
        <v>46287</v>
      </c>
      <c r="B59" t="str">
        <f>IFERROR(INDEX(registro!$A:$A, MATCH($A59, registro!C:C, 0))," ")</f>
        <v xml:space="preserve"> </v>
      </c>
      <c r="C59" t="str">
        <f>IFERROR(INDEX(registro!$A:$A, MATCH($A59, registro!D:D, 0))," ")</f>
        <v xml:space="preserve"> </v>
      </c>
      <c r="D59" t="str">
        <f>IFERROR(INDEX(registro!$A:$A, MATCH($A59, registro!E:E, 0))," ")</f>
        <v xml:space="preserve"> </v>
      </c>
      <c r="E59" t="str">
        <f>IFERROR(INDEX(registro!$A:$A, MATCH($A59, registro!F:F, 0))," ")</f>
        <v xml:space="preserve"> </v>
      </c>
      <c r="F59" t="str">
        <f>IFERROR(INDEX(registro!$A:$A, MATCH($A59, registro!G:G, 0))," ")</f>
        <v xml:space="preserve"> </v>
      </c>
      <c r="G59" t="str">
        <f>IFERROR(INDEX(registro!$A:$A, MATCH($A59, registro!H:H, 0))," ")</f>
        <v xml:space="preserve"> </v>
      </c>
    </row>
    <row r="60" spans="1:7" x14ac:dyDescent="0.25">
      <c r="A60" s="3">
        <v>46288</v>
      </c>
      <c r="B60" t="str">
        <f>IFERROR(INDEX(registro!$A:$A, MATCH($A60, registro!C:C, 0))," ")</f>
        <v xml:space="preserve"> </v>
      </c>
      <c r="C60" t="str">
        <f>IFERROR(INDEX(registro!$A:$A, MATCH($A60, registro!D:D, 0))," ")</f>
        <v xml:space="preserve"> </v>
      </c>
      <c r="D60" t="str">
        <f>IFERROR(INDEX(registro!$A:$A, MATCH($A60, registro!E:E, 0))," ")</f>
        <v xml:space="preserve"> </v>
      </c>
      <c r="E60" t="str">
        <f>IFERROR(INDEX(registro!$A:$A, MATCH($A60, registro!F:F, 0))," ")</f>
        <v xml:space="preserve"> </v>
      </c>
      <c r="F60" t="str">
        <f>IFERROR(INDEX(registro!$A:$A, MATCH($A60, registro!G:G, 0))," ")</f>
        <v xml:space="preserve"> </v>
      </c>
      <c r="G60" t="str">
        <f>IFERROR(INDEX(registro!$A:$A, MATCH($A60, registro!H:H, 0))," ")</f>
        <v xml:space="preserve"> </v>
      </c>
    </row>
    <row r="61" spans="1:7" x14ac:dyDescent="0.25">
      <c r="A61" s="3">
        <v>46289</v>
      </c>
      <c r="B61" t="str">
        <f>IFERROR(INDEX(registro!$A:$A, MATCH($A61, registro!C:C, 0))," ")</f>
        <v xml:space="preserve"> </v>
      </c>
      <c r="C61" t="str">
        <f>IFERROR(INDEX(registro!$A:$A, MATCH($A61, registro!D:D, 0))," ")</f>
        <v xml:space="preserve"> </v>
      </c>
      <c r="D61" t="str">
        <f>IFERROR(INDEX(registro!$A:$A, MATCH($A61, registro!E:E, 0))," ")</f>
        <v xml:space="preserve"> </v>
      </c>
      <c r="E61" t="str">
        <f>IFERROR(INDEX(registro!$A:$A, MATCH($A61, registro!F:F, 0))," ")</f>
        <v xml:space="preserve"> </v>
      </c>
      <c r="F61" t="str">
        <f>IFERROR(INDEX(registro!$A:$A, MATCH($A61, registro!G:G, 0))," ")</f>
        <v xml:space="preserve"> </v>
      </c>
      <c r="G61" t="str">
        <f>IFERROR(INDEX(registro!$A:$A, MATCH($A61, registro!H:H, 0))," ")</f>
        <v xml:space="preserve"> </v>
      </c>
    </row>
    <row r="62" spans="1:7" x14ac:dyDescent="0.25">
      <c r="A62" s="3">
        <v>46290</v>
      </c>
      <c r="B62" t="str">
        <f>IFERROR(INDEX(registro!$A:$A, MATCH($A62, registro!C:C, 0))," ")</f>
        <v xml:space="preserve"> </v>
      </c>
      <c r="C62" t="str">
        <f>IFERROR(INDEX(registro!$A:$A, MATCH($A62, registro!D:D, 0))," ")</f>
        <v xml:space="preserve"> </v>
      </c>
      <c r="D62" t="str">
        <f>IFERROR(INDEX(registro!$A:$A, MATCH($A62, registro!E:E, 0))," ")</f>
        <v xml:space="preserve"> </v>
      </c>
      <c r="E62" t="str">
        <f>IFERROR(INDEX(registro!$A:$A, MATCH($A62, registro!F:F, 0))," ")</f>
        <v xml:space="preserve"> </v>
      </c>
      <c r="F62" t="str">
        <f>IFERROR(INDEX(registro!$A:$A, MATCH($A62, registro!G:G, 0))," ")</f>
        <v xml:space="preserve"> </v>
      </c>
      <c r="G62" t="str">
        <f>IFERROR(INDEX(registro!$A:$A, MATCH($A62, registro!H:H, 0))," ")</f>
        <v xml:space="preserve"> </v>
      </c>
    </row>
    <row r="63" spans="1:7" x14ac:dyDescent="0.25">
      <c r="A63" s="3">
        <v>46291</v>
      </c>
      <c r="B63" t="str">
        <f>IFERROR(INDEX(registro!$A:$A, MATCH($A63, registro!C:C, 0))," ")</f>
        <v xml:space="preserve"> </v>
      </c>
      <c r="C63" t="str">
        <f>IFERROR(INDEX(registro!$A:$A, MATCH($A63, registro!D:D, 0))," ")</f>
        <v xml:space="preserve"> </v>
      </c>
      <c r="D63" t="str">
        <f>IFERROR(INDEX(registro!$A:$A, MATCH($A63, registro!E:E, 0))," ")</f>
        <v xml:space="preserve"> </v>
      </c>
      <c r="E63" t="str">
        <f>IFERROR(INDEX(registro!$A:$A, MATCH($A63, registro!F:F, 0))," ")</f>
        <v xml:space="preserve"> </v>
      </c>
      <c r="F63" t="str">
        <f>IFERROR(INDEX(registro!$A:$A, MATCH($A63, registro!G:G, 0))," ")</f>
        <v xml:space="preserve"> </v>
      </c>
      <c r="G63" t="str">
        <f>IFERROR(INDEX(registro!$A:$A, MATCH($A63, registro!H:H, 0))," ")</f>
        <v xml:space="preserve"> </v>
      </c>
    </row>
    <row r="64" spans="1:7" x14ac:dyDescent="0.25">
      <c r="A64" s="3">
        <v>46292</v>
      </c>
      <c r="B64" t="str">
        <f>IFERROR(INDEX(registro!$A:$A, MATCH($A64, registro!C:C, 0))," ")</f>
        <v xml:space="preserve"> </v>
      </c>
      <c r="C64" t="str">
        <f>IFERROR(INDEX(registro!$A:$A, MATCH($A64, registro!D:D, 0))," ")</f>
        <v xml:space="preserve"> </v>
      </c>
      <c r="D64" t="str">
        <f>IFERROR(INDEX(registro!$A:$A, MATCH($A64, registro!E:E, 0))," ")</f>
        <v xml:space="preserve"> </v>
      </c>
      <c r="E64" t="str">
        <f>IFERROR(INDEX(registro!$A:$A, MATCH($A64, registro!F:F, 0))," ")</f>
        <v xml:space="preserve"> </v>
      </c>
      <c r="F64" t="str">
        <f>IFERROR(INDEX(registro!$A:$A, MATCH($A64, registro!G:G, 0))," ")</f>
        <v xml:space="preserve"> </v>
      </c>
      <c r="G64" t="str">
        <f>IFERROR(INDEX(registro!$A:$A, MATCH($A64, registro!H:H, 0))," ")</f>
        <v xml:space="preserve"> </v>
      </c>
    </row>
    <row r="65" spans="1:7" x14ac:dyDescent="0.25">
      <c r="A65" s="3">
        <v>46293</v>
      </c>
      <c r="B65" t="str">
        <f>IFERROR(INDEX(registro!$A:$A, MATCH($A65, registro!C:C, 0))," ")</f>
        <v xml:space="preserve"> </v>
      </c>
      <c r="C65" t="str">
        <f>IFERROR(INDEX(registro!$A:$A, MATCH($A65, registro!D:D, 0))," ")</f>
        <v xml:space="preserve"> </v>
      </c>
      <c r="D65" t="str">
        <f>IFERROR(INDEX(registro!$A:$A, MATCH($A65, registro!E:E, 0))," ")</f>
        <v xml:space="preserve"> </v>
      </c>
      <c r="E65" t="str">
        <f>IFERROR(INDEX(registro!$A:$A, MATCH($A65, registro!F:F, 0))," ")</f>
        <v xml:space="preserve"> </v>
      </c>
      <c r="F65" t="str">
        <f>IFERROR(INDEX(registro!$A:$A, MATCH($A65, registro!G:G, 0))," ")</f>
        <v xml:space="preserve"> </v>
      </c>
      <c r="G65" t="str">
        <f>IFERROR(INDEX(registro!$A:$A, MATCH($A65, registro!H:H, 0))," ")</f>
        <v xml:space="preserve"> </v>
      </c>
    </row>
    <row r="66" spans="1:7" x14ac:dyDescent="0.25">
      <c r="A66" s="3">
        <v>46294</v>
      </c>
      <c r="B66" t="str">
        <f>IFERROR(INDEX(registro!$A:$A, MATCH($A66, registro!C:C, 0))," ")</f>
        <v xml:space="preserve"> </v>
      </c>
      <c r="C66" t="str">
        <f>IFERROR(INDEX(registro!$A:$A, MATCH($A66, registro!D:D, 0))," ")</f>
        <v xml:space="preserve"> </v>
      </c>
      <c r="D66" t="str">
        <f>IFERROR(INDEX(registro!$A:$A, MATCH($A66, registro!E:E, 0))," ")</f>
        <v xml:space="preserve"> </v>
      </c>
      <c r="E66" t="str">
        <f>IFERROR(INDEX(registro!$A:$A, MATCH($A66, registro!F:F, 0))," ")</f>
        <v xml:space="preserve"> </v>
      </c>
      <c r="F66" t="str">
        <f>IFERROR(INDEX(registro!$A:$A, MATCH($A66, registro!G:G, 0))," ")</f>
        <v xml:space="preserve"> </v>
      </c>
      <c r="G66" t="str">
        <f>IFERROR(INDEX(registro!$A:$A, MATCH($A66, registro!H:H, 0))," ")</f>
        <v xml:space="preserve"> </v>
      </c>
    </row>
    <row r="67" spans="1:7" x14ac:dyDescent="0.25">
      <c r="A67" s="3">
        <v>46295</v>
      </c>
      <c r="B67" t="str">
        <f>IFERROR(INDEX(registro!$A:$A, MATCH($A67, registro!C:C, 0))," ")</f>
        <v xml:space="preserve"> </v>
      </c>
      <c r="C67" t="str">
        <f>IFERROR(INDEX(registro!$A:$A, MATCH($A67, registro!D:D, 0))," ")</f>
        <v xml:space="preserve"> </v>
      </c>
      <c r="D67" t="str">
        <f>IFERROR(INDEX(registro!$A:$A, MATCH($A67, registro!E:E, 0))," ")</f>
        <v xml:space="preserve"> </v>
      </c>
      <c r="E67" t="str">
        <f>IFERROR(INDEX(registro!$A:$A, MATCH($A67, registro!F:F, 0))," ")</f>
        <v xml:space="preserve"> </v>
      </c>
      <c r="F67" t="str">
        <f>IFERROR(INDEX(registro!$A:$A, MATCH($A67, registro!G:G, 0))," ")</f>
        <v xml:space="preserve"> </v>
      </c>
      <c r="G67" t="str">
        <f>IFERROR(INDEX(registro!$A:$A, MATCH($A67, registro!H:H, 0))," ")</f>
        <v xml:space="preserve"> </v>
      </c>
    </row>
    <row r="68" spans="1:7" x14ac:dyDescent="0.25">
      <c r="A68" s="3">
        <v>46296</v>
      </c>
      <c r="B68" t="str">
        <f>IFERROR(INDEX(registro!$A:$A, MATCH($A68, registro!C:C, 0))," ")</f>
        <v xml:space="preserve"> </v>
      </c>
      <c r="C68" t="str">
        <f>IFERROR(INDEX(registro!$A:$A, MATCH($A68, registro!D:D, 0))," ")</f>
        <v xml:space="preserve"> </v>
      </c>
      <c r="D68" t="str">
        <f>IFERROR(INDEX(registro!$A:$A, MATCH($A68, registro!E:E, 0))," ")</f>
        <v xml:space="preserve"> </v>
      </c>
      <c r="E68" t="str">
        <f>IFERROR(INDEX(registro!$A:$A, MATCH($A68, registro!F:F, 0))," ")</f>
        <v xml:space="preserve"> </v>
      </c>
      <c r="F68" t="str">
        <f>IFERROR(INDEX(registro!$A:$A, MATCH($A68, registro!G:G, 0))," ")</f>
        <v xml:space="preserve"> </v>
      </c>
      <c r="G68" t="str">
        <f>IFERROR(INDEX(registro!$A:$A, MATCH($A68, registro!H:H, 0))," ")</f>
        <v xml:space="preserve"> </v>
      </c>
    </row>
    <row r="69" spans="1:7" x14ac:dyDescent="0.25">
      <c r="A69" s="3">
        <v>46297</v>
      </c>
      <c r="B69" t="str">
        <f>IFERROR(INDEX(registro!$A:$A, MATCH($A69, registro!C:C, 0))," ")</f>
        <v xml:space="preserve"> </v>
      </c>
      <c r="C69" t="str">
        <f>IFERROR(INDEX(registro!$A:$A, MATCH($A69, registro!D:D, 0))," ")</f>
        <v xml:space="preserve"> </v>
      </c>
      <c r="D69" t="str">
        <f>IFERROR(INDEX(registro!$A:$A, MATCH($A69, registro!E:E, 0))," ")</f>
        <v xml:space="preserve"> </v>
      </c>
      <c r="E69" t="str">
        <f>IFERROR(INDEX(registro!$A:$A, MATCH($A69, registro!F:F, 0))," ")</f>
        <v xml:space="preserve"> </v>
      </c>
      <c r="F69" t="str">
        <f>IFERROR(INDEX(registro!$A:$A, MATCH($A69, registro!G:G, 0))," ")</f>
        <v xml:space="preserve"> </v>
      </c>
      <c r="G69" t="str">
        <f>IFERROR(INDEX(registro!$A:$A, MATCH($A69, registro!H:H, 0))," ")</f>
        <v xml:space="preserve"> </v>
      </c>
    </row>
    <row r="70" spans="1:7" x14ac:dyDescent="0.25">
      <c r="A70" s="3">
        <v>46298</v>
      </c>
      <c r="B70" t="str">
        <f>IFERROR(INDEX(registro!$A:$A, MATCH($A70, registro!C:C, 0))," ")</f>
        <v xml:space="preserve"> </v>
      </c>
      <c r="C70" t="str">
        <f>IFERROR(INDEX(registro!$A:$A, MATCH($A70, registro!D:D, 0))," ")</f>
        <v xml:space="preserve"> </v>
      </c>
      <c r="D70" t="str">
        <f>IFERROR(INDEX(registro!$A:$A, MATCH($A70, registro!E:E, 0))," ")</f>
        <v xml:space="preserve"> </v>
      </c>
      <c r="E70" t="str">
        <f>IFERROR(INDEX(registro!$A:$A, MATCH($A70, registro!F:F, 0))," ")</f>
        <v xml:space="preserve"> </v>
      </c>
      <c r="F70" t="str">
        <f>IFERROR(INDEX(registro!$A:$A, MATCH($A70, registro!G:G, 0))," ")</f>
        <v xml:space="preserve"> </v>
      </c>
      <c r="G70" t="str">
        <f>IFERROR(INDEX(registro!$A:$A, MATCH($A70, registro!H:H, 0))," ")</f>
        <v xml:space="preserve"> </v>
      </c>
    </row>
    <row r="71" spans="1:7" x14ac:dyDescent="0.25">
      <c r="A71" s="3">
        <v>46299</v>
      </c>
      <c r="B71" t="str">
        <f>IFERROR(INDEX(registro!$A:$A, MATCH($A71, registro!C:C, 0))," ")</f>
        <v xml:space="preserve"> </v>
      </c>
      <c r="C71" t="str">
        <f>IFERROR(INDEX(registro!$A:$A, MATCH($A71, registro!D:D, 0))," ")</f>
        <v xml:space="preserve"> </v>
      </c>
      <c r="D71" t="str">
        <f>IFERROR(INDEX(registro!$A:$A, MATCH($A71, registro!E:E, 0))," ")</f>
        <v xml:space="preserve"> </v>
      </c>
      <c r="E71" t="str">
        <f>IFERROR(INDEX(registro!$A:$A, MATCH($A71, registro!F:F, 0))," ")</f>
        <v xml:space="preserve"> </v>
      </c>
      <c r="F71" t="str">
        <f>IFERROR(INDEX(registro!$A:$A, MATCH($A71, registro!G:G, 0))," ")</f>
        <v xml:space="preserve"> </v>
      </c>
      <c r="G71" t="str">
        <f>IFERROR(INDEX(registro!$A:$A, MATCH($A71, registro!H:H, 0))," ")</f>
        <v xml:space="preserve"> </v>
      </c>
    </row>
    <row r="72" spans="1:7" x14ac:dyDescent="0.25">
      <c r="A72" s="3">
        <v>46300</v>
      </c>
      <c r="B72" t="str">
        <f>IFERROR(INDEX(registro!$A:$A, MATCH($A72, registro!C:C, 0))," ")</f>
        <v xml:space="preserve"> </v>
      </c>
      <c r="C72" t="str">
        <f>IFERROR(INDEX(registro!$A:$A, MATCH($A72, registro!D:D, 0))," ")</f>
        <v xml:space="preserve"> </v>
      </c>
      <c r="D72" t="str">
        <f>IFERROR(INDEX(registro!$A:$A, MATCH($A72, registro!E:E, 0))," ")</f>
        <v xml:space="preserve"> </v>
      </c>
      <c r="E72" t="str">
        <f>IFERROR(INDEX(registro!$A:$A, MATCH($A72, registro!F:F, 0))," ")</f>
        <v xml:space="preserve"> </v>
      </c>
      <c r="F72" t="str">
        <f>IFERROR(INDEX(registro!$A:$A, MATCH($A72, registro!G:G, 0))," ")</f>
        <v xml:space="preserve"> </v>
      </c>
      <c r="G72" t="str">
        <f>IFERROR(INDEX(registro!$A:$A, MATCH($A72, registro!H:H, 0))," ")</f>
        <v xml:space="preserve"> </v>
      </c>
    </row>
    <row r="73" spans="1:7" x14ac:dyDescent="0.25">
      <c r="A73" s="3">
        <v>46301</v>
      </c>
      <c r="B73" t="str">
        <f>IFERROR(INDEX(registro!$A:$A, MATCH($A73, registro!C:C, 0))," ")</f>
        <v xml:space="preserve"> </v>
      </c>
      <c r="C73" t="str">
        <f>IFERROR(INDEX(registro!$A:$A, MATCH($A73, registro!D:D, 0))," ")</f>
        <v xml:space="preserve"> </v>
      </c>
      <c r="D73" t="str">
        <f>IFERROR(INDEX(registro!$A:$A, MATCH($A73, registro!E:E, 0))," ")</f>
        <v xml:space="preserve"> </v>
      </c>
      <c r="E73" t="str">
        <f>IFERROR(INDEX(registro!$A:$A, MATCH($A73, registro!F:F, 0))," ")</f>
        <v xml:space="preserve"> </v>
      </c>
      <c r="F73" t="str">
        <f>IFERROR(INDEX(registro!$A:$A, MATCH($A73, registro!G:G, 0))," ")</f>
        <v xml:space="preserve"> </v>
      </c>
      <c r="G73" t="str">
        <f>IFERROR(INDEX(registro!$A:$A, MATCH($A73, registro!H:H, 0))," ")</f>
        <v xml:space="preserve"> </v>
      </c>
    </row>
    <row r="74" spans="1:7" x14ac:dyDescent="0.25">
      <c r="A74" s="3">
        <v>46302</v>
      </c>
      <c r="B74" t="str">
        <f>IFERROR(INDEX(registro!$A:$A, MATCH($A74, registro!C:C, 0))," ")</f>
        <v xml:space="preserve"> </v>
      </c>
      <c r="C74" t="str">
        <f>IFERROR(INDEX(registro!$A:$A, MATCH($A74, registro!D:D, 0))," ")</f>
        <v xml:space="preserve"> </v>
      </c>
      <c r="D74" t="str">
        <f>IFERROR(INDEX(registro!$A:$A, MATCH($A74, registro!E:E, 0))," ")</f>
        <v xml:space="preserve"> </v>
      </c>
      <c r="E74" t="str">
        <f>IFERROR(INDEX(registro!$A:$A, MATCH($A74, registro!F:F, 0))," ")</f>
        <v xml:space="preserve"> </v>
      </c>
      <c r="F74" t="str">
        <f>IFERROR(INDEX(registro!$A:$A, MATCH($A74, registro!G:G, 0))," ")</f>
        <v xml:space="preserve"> </v>
      </c>
      <c r="G74" t="str">
        <f>IFERROR(INDEX(registro!$A:$A, MATCH($A74, registro!H:H, 0))," ")</f>
        <v xml:space="preserve"> </v>
      </c>
    </row>
    <row r="75" spans="1:7" x14ac:dyDescent="0.25">
      <c r="A75" s="3">
        <v>46303</v>
      </c>
      <c r="B75" t="str">
        <f>IFERROR(INDEX(registro!$A:$A, MATCH($A75, registro!C:C, 0))," ")</f>
        <v xml:space="preserve"> </v>
      </c>
      <c r="C75" t="str">
        <f>IFERROR(INDEX(registro!$A:$A, MATCH($A75, registro!D:D, 0))," ")</f>
        <v xml:space="preserve"> </v>
      </c>
      <c r="D75" t="str">
        <f>IFERROR(INDEX(registro!$A:$A, MATCH($A75, registro!E:E, 0))," ")</f>
        <v xml:space="preserve"> </v>
      </c>
      <c r="E75" t="str">
        <f>IFERROR(INDEX(registro!$A:$A, MATCH($A75, registro!F:F, 0))," ")</f>
        <v xml:space="preserve"> </v>
      </c>
      <c r="F75" t="str">
        <f>IFERROR(INDEX(registro!$A:$A, MATCH($A75, registro!G:G, 0))," ")</f>
        <v xml:space="preserve"> </v>
      </c>
      <c r="G75" t="str">
        <f>IFERROR(INDEX(registro!$A:$A, MATCH($A75, registro!H:H, 0))," ")</f>
        <v xml:space="preserve"> </v>
      </c>
    </row>
    <row r="76" spans="1:7" x14ac:dyDescent="0.25">
      <c r="A76" s="3">
        <v>46304</v>
      </c>
      <c r="B76" t="str">
        <f>IFERROR(INDEX(registro!$A:$A, MATCH($A76, registro!C:C, 0))," ")</f>
        <v xml:space="preserve"> </v>
      </c>
      <c r="C76" t="str">
        <f>IFERROR(INDEX(registro!$A:$A, MATCH($A76, registro!D:D, 0))," ")</f>
        <v xml:space="preserve"> </v>
      </c>
      <c r="D76" t="str">
        <f>IFERROR(INDEX(registro!$A:$A, MATCH($A76, registro!E:E, 0))," ")</f>
        <v xml:space="preserve"> </v>
      </c>
      <c r="E76" t="str">
        <f>IFERROR(INDEX(registro!$A:$A, MATCH($A76, registro!F:F, 0))," ")</f>
        <v xml:space="preserve"> </v>
      </c>
      <c r="F76" t="str">
        <f>IFERROR(INDEX(registro!$A:$A, MATCH($A76, registro!G:G, 0))," ")</f>
        <v xml:space="preserve"> </v>
      </c>
      <c r="G76" t="str">
        <f>IFERROR(INDEX(registro!$A:$A, MATCH($A76, registro!H:H, 0))," ")</f>
        <v xml:space="preserve"> </v>
      </c>
    </row>
    <row r="77" spans="1:7" x14ac:dyDescent="0.25">
      <c r="A77" s="3">
        <v>46305</v>
      </c>
      <c r="B77" t="str">
        <f>IFERROR(INDEX(registro!$A:$A, MATCH($A77, registro!C:C, 0))," ")</f>
        <v xml:space="preserve"> </v>
      </c>
      <c r="C77" t="str">
        <f>IFERROR(INDEX(registro!$A:$A, MATCH($A77, registro!D:D, 0))," ")</f>
        <v xml:space="preserve"> </v>
      </c>
      <c r="D77" t="str">
        <f>IFERROR(INDEX(registro!$A:$A, MATCH($A77, registro!E:E, 0))," ")</f>
        <v xml:space="preserve"> </v>
      </c>
      <c r="E77" t="str">
        <f>IFERROR(INDEX(registro!$A:$A, MATCH($A77, registro!F:F, 0))," ")</f>
        <v xml:space="preserve"> </v>
      </c>
      <c r="F77" t="str">
        <f>IFERROR(INDEX(registro!$A:$A, MATCH($A77, registro!G:G, 0))," ")</f>
        <v xml:space="preserve"> </v>
      </c>
      <c r="G77" t="str">
        <f>IFERROR(INDEX(registro!$A:$A, MATCH($A77, registro!H:H, 0))," ")</f>
        <v xml:space="preserve"> </v>
      </c>
    </row>
    <row r="78" spans="1:7" x14ac:dyDescent="0.25">
      <c r="A78" s="3">
        <v>46306</v>
      </c>
      <c r="B78" t="str">
        <f>IFERROR(INDEX(registro!$A:$A, MATCH($A78, registro!C:C, 0))," ")</f>
        <v xml:space="preserve"> </v>
      </c>
      <c r="C78" t="str">
        <f>IFERROR(INDEX(registro!$A:$A, MATCH($A78, registro!D:D, 0))," ")</f>
        <v xml:space="preserve"> </v>
      </c>
      <c r="D78" t="str">
        <f>IFERROR(INDEX(registro!$A:$A, MATCH($A78, registro!E:E, 0))," ")</f>
        <v xml:space="preserve"> </v>
      </c>
      <c r="E78" t="str">
        <f>IFERROR(INDEX(registro!$A:$A, MATCH($A78, registro!F:F, 0))," ")</f>
        <v xml:space="preserve"> </v>
      </c>
      <c r="F78" t="str">
        <f>IFERROR(INDEX(registro!$A:$A, MATCH($A78, registro!G:G, 0))," ")</f>
        <v xml:space="preserve"> </v>
      </c>
      <c r="G78" t="str">
        <f>IFERROR(INDEX(registro!$A:$A, MATCH($A78, registro!H:H, 0))," ")</f>
        <v xml:space="preserve"> </v>
      </c>
    </row>
    <row r="79" spans="1:7" x14ac:dyDescent="0.25">
      <c r="A79" s="3">
        <v>46307</v>
      </c>
      <c r="B79" t="str">
        <f>IFERROR(INDEX(registro!$A:$A, MATCH($A79, registro!C:C, 0))," ")</f>
        <v xml:space="preserve"> </v>
      </c>
      <c r="C79" t="str">
        <f>IFERROR(INDEX(registro!$A:$A, MATCH($A79, registro!D:D, 0))," ")</f>
        <v xml:space="preserve"> </v>
      </c>
      <c r="D79" t="str">
        <f>IFERROR(INDEX(registro!$A:$A, MATCH($A79, registro!E:E, 0))," ")</f>
        <v xml:space="preserve"> </v>
      </c>
      <c r="E79" t="str">
        <f>IFERROR(INDEX(registro!$A:$A, MATCH($A79, registro!F:F, 0))," ")</f>
        <v xml:space="preserve"> </v>
      </c>
      <c r="F79" t="str">
        <f>IFERROR(INDEX(registro!$A:$A, MATCH($A79, registro!G:G, 0))," ")</f>
        <v xml:space="preserve"> </v>
      </c>
      <c r="G79" t="str">
        <f>IFERROR(INDEX(registro!$A:$A, MATCH($A79, registro!H:H, 0))," ")</f>
        <v xml:space="preserve"> </v>
      </c>
    </row>
    <row r="80" spans="1:7" x14ac:dyDescent="0.25">
      <c r="A80" s="3">
        <v>46308</v>
      </c>
      <c r="B80" t="str">
        <f>IFERROR(INDEX(registro!$A:$A, MATCH($A80, registro!C:C, 0))," ")</f>
        <v xml:space="preserve"> </v>
      </c>
      <c r="C80" t="str">
        <f>IFERROR(INDEX(registro!$A:$A, MATCH($A80, registro!D:D, 0))," ")</f>
        <v xml:space="preserve"> </v>
      </c>
      <c r="D80" t="str">
        <f>IFERROR(INDEX(registro!$A:$A, MATCH($A80, registro!E:E, 0))," ")</f>
        <v xml:space="preserve"> </v>
      </c>
      <c r="E80" t="str">
        <f>IFERROR(INDEX(registro!$A:$A, MATCH($A80, registro!F:F, 0))," ")</f>
        <v xml:space="preserve"> </v>
      </c>
      <c r="F80" t="str">
        <f>IFERROR(INDEX(registro!$A:$A, MATCH($A80, registro!G:G, 0))," ")</f>
        <v xml:space="preserve"> </v>
      </c>
      <c r="G80" t="str">
        <f>IFERROR(INDEX(registro!$A:$A, MATCH($A80, registro!H:H, 0))," ")</f>
        <v xml:space="preserve"> </v>
      </c>
    </row>
    <row r="81" spans="1:7" x14ac:dyDescent="0.25">
      <c r="A81" s="3">
        <v>46309</v>
      </c>
      <c r="B81" t="str">
        <f>IFERROR(INDEX(registro!$A:$A, MATCH($A81, registro!C:C, 0))," ")</f>
        <v xml:space="preserve"> </v>
      </c>
      <c r="C81" t="str">
        <f>IFERROR(INDEX(registro!$A:$A, MATCH($A81, registro!D:D, 0))," ")</f>
        <v xml:space="preserve"> </v>
      </c>
      <c r="D81" t="str">
        <f>IFERROR(INDEX(registro!$A:$A, MATCH($A81, registro!E:E, 0))," ")</f>
        <v xml:space="preserve"> </v>
      </c>
      <c r="E81" t="str">
        <f>IFERROR(INDEX(registro!$A:$A, MATCH($A81, registro!F:F, 0))," ")</f>
        <v xml:space="preserve"> </v>
      </c>
      <c r="F81" t="str">
        <f>IFERROR(INDEX(registro!$A:$A, MATCH($A81, registro!G:G, 0))," ")</f>
        <v xml:space="preserve"> </v>
      </c>
      <c r="G81" t="str">
        <f>IFERROR(INDEX(registro!$A:$A, MATCH($A81, registro!H:H, 0))," ")</f>
        <v xml:space="preserve"> </v>
      </c>
    </row>
    <row r="82" spans="1:7" x14ac:dyDescent="0.25">
      <c r="A82" s="3">
        <v>46310</v>
      </c>
      <c r="B82" t="str">
        <f>IFERROR(INDEX(registro!$A:$A, MATCH($A82, registro!C:C, 0))," ")</f>
        <v xml:space="preserve"> </v>
      </c>
      <c r="C82" t="str">
        <f>IFERROR(INDEX(registro!$A:$A, MATCH($A82, registro!D:D, 0))," ")</f>
        <v xml:space="preserve"> </v>
      </c>
      <c r="D82" t="str">
        <f>IFERROR(INDEX(registro!$A:$A, MATCH($A82, registro!E:E, 0))," ")</f>
        <v xml:space="preserve"> </v>
      </c>
      <c r="E82" t="str">
        <f>IFERROR(INDEX(registro!$A:$A, MATCH($A82, registro!F:F, 0))," ")</f>
        <v xml:space="preserve"> </v>
      </c>
      <c r="F82" t="str">
        <f>IFERROR(INDEX(registro!$A:$A, MATCH($A82, registro!G:G, 0))," ")</f>
        <v xml:space="preserve"> </v>
      </c>
      <c r="G82" t="str">
        <f>IFERROR(INDEX(registro!$A:$A, MATCH($A82, registro!H:H, 0))," ")</f>
        <v xml:space="preserve"> </v>
      </c>
    </row>
    <row r="83" spans="1:7" x14ac:dyDescent="0.25">
      <c r="A83" s="3">
        <v>46311</v>
      </c>
      <c r="B83" t="str">
        <f>IFERROR(INDEX(registro!$A:$A, MATCH($A83, registro!C:C, 0))," ")</f>
        <v xml:space="preserve"> </v>
      </c>
      <c r="C83" t="str">
        <f>IFERROR(INDEX(registro!$A:$A, MATCH($A83, registro!D:D, 0))," ")</f>
        <v xml:space="preserve"> </v>
      </c>
      <c r="D83" t="str">
        <f>IFERROR(INDEX(registro!$A:$A, MATCH($A83, registro!E:E, 0))," ")</f>
        <v xml:space="preserve"> </v>
      </c>
      <c r="E83" t="str">
        <f>IFERROR(INDEX(registro!$A:$A, MATCH($A83, registro!F:F, 0))," ")</f>
        <v xml:space="preserve"> </v>
      </c>
      <c r="F83" t="str">
        <f>IFERROR(INDEX(registro!$A:$A, MATCH($A83, registro!G:G, 0))," ")</f>
        <v xml:space="preserve"> </v>
      </c>
      <c r="G83" t="str">
        <f>IFERROR(INDEX(registro!$A:$A, MATCH($A83, registro!H:H, 0))," ")</f>
        <v xml:space="preserve"> </v>
      </c>
    </row>
    <row r="84" spans="1:7" x14ac:dyDescent="0.25">
      <c r="A84" s="3">
        <v>46312</v>
      </c>
      <c r="B84" t="str">
        <f>IFERROR(INDEX(registro!$A:$A, MATCH($A84, registro!C:C, 0))," ")</f>
        <v xml:space="preserve"> </v>
      </c>
      <c r="C84" t="str">
        <f>IFERROR(INDEX(registro!$A:$A, MATCH($A84, registro!D:D, 0))," ")</f>
        <v xml:space="preserve"> </v>
      </c>
      <c r="D84" t="str">
        <f>IFERROR(INDEX(registro!$A:$A, MATCH($A84, registro!E:E, 0))," ")</f>
        <v xml:space="preserve"> </v>
      </c>
      <c r="E84" t="str">
        <f>IFERROR(INDEX(registro!$A:$A, MATCH($A84, registro!F:F, 0))," ")</f>
        <v xml:space="preserve"> </v>
      </c>
      <c r="F84" t="str">
        <f>IFERROR(INDEX(registro!$A:$A, MATCH($A84, registro!G:G, 0))," ")</f>
        <v xml:space="preserve"> </v>
      </c>
      <c r="G84" t="str">
        <f>IFERROR(INDEX(registro!$A:$A, MATCH($A84, registro!H:H, 0))," ")</f>
        <v xml:space="preserve"> </v>
      </c>
    </row>
    <row r="85" spans="1:7" x14ac:dyDescent="0.25">
      <c r="A85" s="3">
        <v>46313</v>
      </c>
      <c r="B85" t="str">
        <f>IFERROR(INDEX(registro!$A:$A, MATCH($A85, registro!C:C, 0))," ")</f>
        <v xml:space="preserve"> </v>
      </c>
      <c r="C85" t="str">
        <f>IFERROR(INDEX(registro!$A:$A, MATCH($A85, registro!D:D, 0))," ")</f>
        <v xml:space="preserve"> </v>
      </c>
      <c r="D85" t="str">
        <f>IFERROR(INDEX(registro!$A:$A, MATCH($A85, registro!E:E, 0))," ")</f>
        <v xml:space="preserve"> </v>
      </c>
      <c r="E85" t="str">
        <f>IFERROR(INDEX(registro!$A:$A, MATCH($A85, registro!F:F, 0))," ")</f>
        <v xml:space="preserve"> </v>
      </c>
      <c r="F85" t="str">
        <f>IFERROR(INDEX(registro!$A:$A, MATCH($A85, registro!G:G, 0))," ")</f>
        <v xml:space="preserve"> </v>
      </c>
      <c r="G85" t="str">
        <f>IFERROR(INDEX(registro!$A:$A, MATCH($A85, registro!H:H, 0))," ")</f>
        <v xml:space="preserve"> </v>
      </c>
    </row>
    <row r="86" spans="1:7" x14ac:dyDescent="0.25">
      <c r="A86" s="3">
        <v>46314</v>
      </c>
      <c r="B86" t="str">
        <f>IFERROR(INDEX(registro!$A:$A, MATCH($A86, registro!C:C, 0))," ")</f>
        <v xml:space="preserve"> </v>
      </c>
      <c r="C86" t="str">
        <f>IFERROR(INDEX(registro!$A:$A, MATCH($A86, registro!D:D, 0))," ")</f>
        <v xml:space="preserve"> </v>
      </c>
      <c r="D86" t="str">
        <f>IFERROR(INDEX(registro!$A:$A, MATCH($A86, registro!E:E, 0))," ")</f>
        <v xml:space="preserve"> </v>
      </c>
      <c r="E86" t="str">
        <f>IFERROR(INDEX(registro!$A:$A, MATCH($A86, registro!F:F, 0))," ")</f>
        <v xml:space="preserve"> </v>
      </c>
      <c r="F86" t="str">
        <f>IFERROR(INDEX(registro!$A:$A, MATCH($A86, registro!G:G, 0))," ")</f>
        <v xml:space="preserve"> </v>
      </c>
      <c r="G86" t="str">
        <f>IFERROR(INDEX(registro!$A:$A, MATCH($A86, registro!H:H, 0))," ")</f>
        <v xml:space="preserve"> </v>
      </c>
    </row>
    <row r="87" spans="1:7" x14ac:dyDescent="0.25">
      <c r="A87" s="3">
        <v>46315</v>
      </c>
      <c r="B87" t="str">
        <f>IFERROR(INDEX(registro!$A:$A, MATCH($A87, registro!C:C, 0))," ")</f>
        <v xml:space="preserve"> </v>
      </c>
      <c r="C87" t="str">
        <f>IFERROR(INDEX(registro!$A:$A, MATCH($A87, registro!D:D, 0))," ")</f>
        <v xml:space="preserve"> </v>
      </c>
      <c r="D87" t="str">
        <f>IFERROR(INDEX(registro!$A:$A, MATCH($A87, registro!E:E, 0))," ")</f>
        <v xml:space="preserve"> </v>
      </c>
      <c r="E87" t="str">
        <f>IFERROR(INDEX(registro!$A:$A, MATCH($A87, registro!F:F, 0))," ")</f>
        <v xml:space="preserve"> </v>
      </c>
      <c r="F87" t="str">
        <f>IFERROR(INDEX(registro!$A:$A, MATCH($A87, registro!G:G, 0))," ")</f>
        <v xml:space="preserve"> </v>
      </c>
      <c r="G87" t="str">
        <f>IFERROR(INDEX(registro!$A:$A, MATCH($A87, registro!H:H, 0))," ")</f>
        <v xml:space="preserve"> </v>
      </c>
    </row>
    <row r="88" spans="1:7" x14ac:dyDescent="0.25">
      <c r="A88" s="3">
        <v>46316</v>
      </c>
      <c r="B88" t="str">
        <f>IFERROR(INDEX(registro!$A:$A, MATCH($A88, registro!C:C, 0))," ")</f>
        <v xml:space="preserve"> </v>
      </c>
      <c r="C88" t="str">
        <f>IFERROR(INDEX(registro!$A:$A, MATCH($A88, registro!D:D, 0))," ")</f>
        <v xml:space="preserve"> </v>
      </c>
      <c r="D88" t="str">
        <f>IFERROR(INDEX(registro!$A:$A, MATCH($A88, registro!E:E, 0))," ")</f>
        <v xml:space="preserve"> </v>
      </c>
      <c r="E88" t="str">
        <f>IFERROR(INDEX(registro!$A:$A, MATCH($A88, registro!F:F, 0))," ")</f>
        <v xml:space="preserve"> </v>
      </c>
      <c r="F88" t="str">
        <f>IFERROR(INDEX(registro!$A:$A, MATCH($A88, registro!G:G, 0))," ")</f>
        <v xml:space="preserve"> </v>
      </c>
      <c r="G88" t="str">
        <f>IFERROR(INDEX(registro!$A:$A, MATCH($A88, registro!H:H, 0))," ")</f>
        <v xml:space="preserve"> </v>
      </c>
    </row>
    <row r="89" spans="1:7" x14ac:dyDescent="0.25">
      <c r="A89" s="3">
        <v>46317</v>
      </c>
      <c r="B89" t="str">
        <f>IFERROR(INDEX(registro!$A:$A, MATCH($A89, registro!C:C, 0))," ")</f>
        <v xml:space="preserve"> </v>
      </c>
      <c r="C89" t="str">
        <f>IFERROR(INDEX(registro!$A:$A, MATCH($A89, registro!D:D, 0))," ")</f>
        <v xml:space="preserve"> </v>
      </c>
      <c r="D89" t="str">
        <f>IFERROR(INDEX(registro!$A:$A, MATCH($A89, registro!E:E, 0))," ")</f>
        <v xml:space="preserve"> </v>
      </c>
      <c r="E89" t="str">
        <f>IFERROR(INDEX(registro!$A:$A, MATCH($A89, registro!F:F, 0))," ")</f>
        <v xml:space="preserve"> </v>
      </c>
      <c r="F89" t="str">
        <f>IFERROR(INDEX(registro!$A:$A, MATCH($A89, registro!G:G, 0))," ")</f>
        <v xml:space="preserve"> </v>
      </c>
      <c r="G89" t="str">
        <f>IFERROR(INDEX(registro!$A:$A, MATCH($A89, registro!H:H, 0))," ")</f>
        <v xml:space="preserve"> </v>
      </c>
    </row>
    <row r="90" spans="1:7" x14ac:dyDescent="0.25">
      <c r="A90" s="3">
        <v>46318</v>
      </c>
      <c r="B90" t="str">
        <f>IFERROR(INDEX(registro!$A:$A, MATCH($A90, registro!C:C, 0))," ")</f>
        <v xml:space="preserve"> </v>
      </c>
      <c r="C90" t="str">
        <f>IFERROR(INDEX(registro!$A:$A, MATCH($A90, registro!D:D, 0))," ")</f>
        <v xml:space="preserve"> </v>
      </c>
      <c r="D90" t="str">
        <f>IFERROR(INDEX(registro!$A:$A, MATCH($A90, registro!E:E, 0))," ")</f>
        <v xml:space="preserve"> </v>
      </c>
      <c r="E90" t="str">
        <f>IFERROR(INDEX(registro!$A:$A, MATCH($A90, registro!F:F, 0))," ")</f>
        <v xml:space="preserve"> </v>
      </c>
      <c r="F90" t="str">
        <f>IFERROR(INDEX(registro!$A:$A, MATCH($A90, registro!G:G, 0))," ")</f>
        <v xml:space="preserve"> </v>
      </c>
      <c r="G90" t="str">
        <f>IFERROR(INDEX(registro!$A:$A, MATCH($A90, registro!H:H, 0))," ")</f>
        <v xml:space="preserve"> </v>
      </c>
    </row>
    <row r="91" spans="1:7" x14ac:dyDescent="0.25">
      <c r="A91" s="3">
        <v>46319</v>
      </c>
      <c r="B91" t="str">
        <f>IFERROR(INDEX(registro!$A:$A, MATCH($A91, registro!C:C, 0))," ")</f>
        <v xml:space="preserve"> </v>
      </c>
      <c r="C91" t="str">
        <f>IFERROR(INDEX(registro!$A:$A, MATCH($A91, registro!D:D, 0))," ")</f>
        <v xml:space="preserve"> </v>
      </c>
      <c r="D91" t="str">
        <f>IFERROR(INDEX(registro!$A:$A, MATCH($A91, registro!E:E, 0))," ")</f>
        <v xml:space="preserve"> </v>
      </c>
      <c r="E91" t="str">
        <f>IFERROR(INDEX(registro!$A:$A, MATCH($A91, registro!F:F, 0))," ")</f>
        <v xml:space="preserve"> </v>
      </c>
      <c r="F91" t="str">
        <f>IFERROR(INDEX(registro!$A:$A, MATCH($A91, registro!G:G, 0))," ")</f>
        <v xml:space="preserve"> </v>
      </c>
      <c r="G91" t="str">
        <f>IFERROR(INDEX(registro!$A:$A, MATCH($A91, registro!H:H, 0))," ")</f>
        <v xml:space="preserve"> </v>
      </c>
    </row>
    <row r="92" spans="1:7" x14ac:dyDescent="0.25">
      <c r="A92" s="3">
        <v>46320</v>
      </c>
      <c r="B92" t="str">
        <f>IFERROR(INDEX(registro!$A:$A, MATCH($A92, registro!C:C, 0))," ")</f>
        <v xml:space="preserve"> </v>
      </c>
      <c r="C92" t="str">
        <f>IFERROR(INDEX(registro!$A:$A, MATCH($A92, registro!D:D, 0))," ")</f>
        <v xml:space="preserve"> </v>
      </c>
      <c r="D92" t="str">
        <f>IFERROR(INDEX(registro!$A:$A, MATCH($A92, registro!E:E, 0))," ")</f>
        <v xml:space="preserve"> </v>
      </c>
      <c r="E92" t="str">
        <f>IFERROR(INDEX(registro!$A:$A, MATCH($A92, registro!F:F, 0))," ")</f>
        <v xml:space="preserve"> </v>
      </c>
      <c r="F92" t="str">
        <f>IFERROR(INDEX(registro!$A:$A, MATCH($A92, registro!G:G, 0))," ")</f>
        <v xml:space="preserve"> </v>
      </c>
      <c r="G92" t="str">
        <f>IFERROR(INDEX(registro!$A:$A, MATCH($A92, registro!H:H, 0))," ")</f>
        <v xml:space="preserve"> </v>
      </c>
    </row>
    <row r="93" spans="1:7" x14ac:dyDescent="0.25">
      <c r="A93" s="3">
        <v>46321</v>
      </c>
      <c r="B93" t="str">
        <f>IFERROR(INDEX(registro!$A:$A, MATCH($A93, registro!C:C, 0))," ")</f>
        <v xml:space="preserve"> </v>
      </c>
      <c r="C93" t="str">
        <f>IFERROR(INDEX(registro!$A:$A, MATCH($A93, registro!D:D, 0))," ")</f>
        <v xml:space="preserve"> </v>
      </c>
      <c r="D93" t="str">
        <f>IFERROR(INDEX(registro!$A:$A, MATCH($A93, registro!E:E, 0))," ")</f>
        <v xml:space="preserve"> </v>
      </c>
      <c r="E93" t="str">
        <f>IFERROR(INDEX(registro!$A:$A, MATCH($A93, registro!F:F, 0))," ")</f>
        <v xml:space="preserve"> </v>
      </c>
      <c r="F93" t="str">
        <f>IFERROR(INDEX(registro!$A:$A, MATCH($A93, registro!G:G, 0))," ")</f>
        <v xml:space="preserve"> </v>
      </c>
      <c r="G93" t="str">
        <f>IFERROR(INDEX(registro!$A:$A, MATCH($A93, registro!H:H, 0))," ")</f>
        <v xml:space="preserve"> </v>
      </c>
    </row>
    <row r="94" spans="1:7" x14ac:dyDescent="0.25">
      <c r="A94" s="3">
        <v>46322</v>
      </c>
      <c r="B94" t="str">
        <f>IFERROR(INDEX(registro!$A:$A, MATCH($A94, registro!C:C, 0))," ")</f>
        <v xml:space="preserve"> </v>
      </c>
      <c r="C94" t="str">
        <f>IFERROR(INDEX(registro!$A:$A, MATCH($A94, registro!D:D, 0))," ")</f>
        <v xml:space="preserve"> </v>
      </c>
      <c r="D94" t="str">
        <f>IFERROR(INDEX(registro!$A:$A, MATCH($A94, registro!E:E, 0))," ")</f>
        <v xml:space="preserve"> </v>
      </c>
      <c r="E94" t="str">
        <f>IFERROR(INDEX(registro!$A:$A, MATCH($A94, registro!F:F, 0))," ")</f>
        <v xml:space="preserve"> </v>
      </c>
      <c r="F94" t="str">
        <f>IFERROR(INDEX(registro!$A:$A, MATCH($A94, registro!G:G, 0))," ")</f>
        <v xml:space="preserve"> </v>
      </c>
      <c r="G94" t="str">
        <f>IFERROR(INDEX(registro!$A:$A, MATCH($A94, registro!H:H, 0))," ")</f>
        <v xml:space="preserve"> </v>
      </c>
    </row>
    <row r="95" spans="1:7" x14ac:dyDescent="0.25">
      <c r="A95" s="3">
        <v>46323</v>
      </c>
      <c r="B95" t="str">
        <f>IFERROR(INDEX(registro!$A:$A, MATCH($A95, registro!C:C, 0))," ")</f>
        <v xml:space="preserve"> </v>
      </c>
      <c r="C95" t="str">
        <f>IFERROR(INDEX(registro!$A:$A, MATCH($A95, registro!D:D, 0))," ")</f>
        <v xml:space="preserve"> </v>
      </c>
      <c r="D95" t="str">
        <f>IFERROR(INDEX(registro!$A:$A, MATCH($A95, registro!E:E, 0))," ")</f>
        <v xml:space="preserve"> </v>
      </c>
      <c r="E95" t="str">
        <f>IFERROR(INDEX(registro!$A:$A, MATCH($A95, registro!F:F, 0))," ")</f>
        <v xml:space="preserve"> </v>
      </c>
      <c r="F95" t="str">
        <f>IFERROR(INDEX(registro!$A:$A, MATCH($A95, registro!G:G, 0))," ")</f>
        <v xml:space="preserve"> </v>
      </c>
      <c r="G95" t="str">
        <f>IFERROR(INDEX(registro!$A:$A, MATCH($A95, registro!H:H, 0))," ")</f>
        <v xml:space="preserve"> </v>
      </c>
    </row>
    <row r="96" spans="1:7" x14ac:dyDescent="0.25">
      <c r="A96" s="3">
        <v>46324</v>
      </c>
      <c r="B96" t="str">
        <f>IFERROR(INDEX(registro!$A:$A, MATCH($A96, registro!C:C, 0))," ")</f>
        <v xml:space="preserve"> </v>
      </c>
      <c r="C96" t="str">
        <f>IFERROR(INDEX(registro!$A:$A, MATCH($A96, registro!D:D, 0))," ")</f>
        <v xml:space="preserve"> </v>
      </c>
      <c r="D96" t="str">
        <f>IFERROR(INDEX(registro!$A:$A, MATCH($A96, registro!E:E, 0))," ")</f>
        <v xml:space="preserve"> </v>
      </c>
      <c r="E96" t="str">
        <f>IFERROR(INDEX(registro!$A:$A, MATCH($A96, registro!F:F, 0))," ")</f>
        <v xml:space="preserve"> </v>
      </c>
      <c r="F96" t="str">
        <f>IFERROR(INDEX(registro!$A:$A, MATCH($A96, registro!G:G, 0))," ")</f>
        <v xml:space="preserve"> </v>
      </c>
      <c r="G96" t="str">
        <f>IFERROR(INDEX(registro!$A:$A, MATCH($A96, registro!H:H, 0))," ")</f>
        <v xml:space="preserve"> </v>
      </c>
    </row>
    <row r="97" spans="1:7" x14ac:dyDescent="0.25">
      <c r="A97" s="3">
        <v>46325</v>
      </c>
      <c r="B97" t="str">
        <f>IFERROR(INDEX(registro!$A:$A, MATCH($A97, registro!C:C, 0))," ")</f>
        <v xml:space="preserve"> </v>
      </c>
      <c r="C97" t="str">
        <f>IFERROR(INDEX(registro!$A:$A, MATCH($A97, registro!D:D, 0))," ")</f>
        <v xml:space="preserve"> </v>
      </c>
      <c r="D97" t="str">
        <f>IFERROR(INDEX(registro!$A:$A, MATCH($A97, registro!E:E, 0))," ")</f>
        <v xml:space="preserve"> </v>
      </c>
      <c r="E97" t="str">
        <f>IFERROR(INDEX(registro!$A:$A, MATCH($A97, registro!F:F, 0))," ")</f>
        <v xml:space="preserve"> </v>
      </c>
      <c r="F97" t="str">
        <f>IFERROR(INDEX(registro!$A:$A, MATCH($A97, registro!G:G, 0))," ")</f>
        <v xml:space="preserve"> </v>
      </c>
      <c r="G97" t="str">
        <f>IFERROR(INDEX(registro!$A:$A, MATCH($A97, registro!H:H, 0))," ")</f>
        <v xml:space="preserve"> </v>
      </c>
    </row>
    <row r="98" spans="1:7" x14ac:dyDescent="0.25">
      <c r="A98" s="3">
        <v>46326</v>
      </c>
      <c r="B98" t="str">
        <f>IFERROR(INDEX(registro!$A:$A, MATCH($A98, registro!C:C, 0))," ")</f>
        <v xml:space="preserve"> </v>
      </c>
      <c r="C98" t="str">
        <f>IFERROR(INDEX(registro!$A:$A, MATCH($A98, registro!D:D, 0))," ")</f>
        <v xml:space="preserve"> </v>
      </c>
      <c r="D98" t="str">
        <f>IFERROR(INDEX(registro!$A:$A, MATCH($A98, registro!E:E, 0))," ")</f>
        <v xml:space="preserve"> </v>
      </c>
      <c r="E98" t="str">
        <f>IFERROR(INDEX(registro!$A:$A, MATCH($A98, registro!F:F, 0))," ")</f>
        <v xml:space="preserve"> </v>
      </c>
      <c r="F98" t="str">
        <f>IFERROR(INDEX(registro!$A:$A, MATCH($A98, registro!G:G, 0))," ")</f>
        <v xml:space="preserve"> </v>
      </c>
      <c r="G98" t="str">
        <f>IFERROR(INDEX(registro!$A:$A, MATCH($A98, registro!H:H, 0))," ")</f>
        <v xml:space="preserve"> </v>
      </c>
    </row>
    <row r="99" spans="1:7" x14ac:dyDescent="0.25">
      <c r="A99" s="3">
        <v>46327</v>
      </c>
      <c r="B99" t="str">
        <f>IFERROR(INDEX(registro!$A:$A, MATCH($A99, registro!C:C, 0))," ")</f>
        <v xml:space="preserve"> </v>
      </c>
      <c r="C99" t="str">
        <f>IFERROR(INDEX(registro!$A:$A, MATCH($A99, registro!D:D, 0))," ")</f>
        <v xml:space="preserve"> </v>
      </c>
      <c r="D99" t="str">
        <f>IFERROR(INDEX(registro!$A:$A, MATCH($A99, registro!E:E, 0))," ")</f>
        <v xml:space="preserve"> </v>
      </c>
      <c r="E99" t="str">
        <f>IFERROR(INDEX(registro!$A:$A, MATCH($A99, registro!F:F, 0))," ")</f>
        <v xml:space="preserve"> </v>
      </c>
      <c r="F99" t="str">
        <f>IFERROR(INDEX(registro!$A:$A, MATCH($A99, registro!G:G, 0))," ")</f>
        <v xml:space="preserve"> </v>
      </c>
      <c r="G99" t="str">
        <f>IFERROR(INDEX(registro!$A:$A, MATCH($A99, registro!H:H, 0))," ")</f>
        <v xml:space="preserve"> </v>
      </c>
    </row>
    <row r="100" spans="1:7" x14ac:dyDescent="0.25">
      <c r="A100" s="3">
        <v>46328</v>
      </c>
      <c r="B100" t="str">
        <f>IFERROR(INDEX(registro!$A:$A, MATCH($A100, registro!C:C, 0))," ")</f>
        <v xml:space="preserve"> </v>
      </c>
      <c r="C100" t="str">
        <f>IFERROR(INDEX(registro!$A:$A, MATCH($A100, registro!D:D, 0))," ")</f>
        <v xml:space="preserve"> </v>
      </c>
      <c r="D100" t="str">
        <f>IFERROR(INDEX(registro!$A:$A, MATCH($A100, registro!E:E, 0))," ")</f>
        <v xml:space="preserve"> </v>
      </c>
      <c r="E100" t="str">
        <f>IFERROR(INDEX(registro!$A:$A, MATCH($A100, registro!F:F, 0))," ")</f>
        <v xml:space="preserve"> </v>
      </c>
      <c r="F100" t="str">
        <f>IFERROR(INDEX(registro!$A:$A, MATCH($A100, registro!G:G, 0))," ")</f>
        <v xml:space="preserve"> </v>
      </c>
      <c r="G100" t="str">
        <f>IFERROR(INDEX(registro!$A:$A, MATCH($A100, registro!H:H, 0))," ")</f>
        <v xml:space="preserve"> </v>
      </c>
    </row>
    <row r="101" spans="1:7" x14ac:dyDescent="0.25">
      <c r="A101" s="3">
        <v>46329</v>
      </c>
      <c r="B101" t="str">
        <f>IFERROR(INDEX(registro!$A:$A, MATCH($A101, registro!C:C, 0))," ")</f>
        <v xml:space="preserve"> </v>
      </c>
      <c r="C101" t="str">
        <f>IFERROR(INDEX(registro!$A:$A, MATCH($A101, registro!D:D, 0))," ")</f>
        <v xml:space="preserve"> </v>
      </c>
      <c r="D101" t="str">
        <f>IFERROR(INDEX(registro!$A:$A, MATCH($A101, registro!E:E, 0))," ")</f>
        <v xml:space="preserve"> </v>
      </c>
      <c r="E101" t="str">
        <f>IFERROR(INDEX(registro!$A:$A, MATCH($A101, registro!F:F, 0))," ")</f>
        <v xml:space="preserve"> </v>
      </c>
      <c r="F101" t="str">
        <f>IFERROR(INDEX(registro!$A:$A, MATCH($A101, registro!G:G, 0))," ")</f>
        <v xml:space="preserve"> </v>
      </c>
      <c r="G101" t="str">
        <f>IFERROR(INDEX(registro!$A:$A, MATCH($A101, registro!H:H, 0))," ")</f>
        <v xml:space="preserve"> </v>
      </c>
    </row>
    <row r="102" spans="1:7" x14ac:dyDescent="0.25">
      <c r="A102" s="3">
        <v>46330</v>
      </c>
      <c r="B102" t="str">
        <f>IFERROR(INDEX(registro!$A:$A, MATCH($A102, registro!C:C, 0))," ")</f>
        <v xml:space="preserve"> </v>
      </c>
      <c r="C102" t="str">
        <f>IFERROR(INDEX(registro!$A:$A, MATCH($A102, registro!D:D, 0))," ")</f>
        <v xml:space="preserve"> </v>
      </c>
      <c r="D102" t="str">
        <f>IFERROR(INDEX(registro!$A:$A, MATCH($A102, registro!E:E, 0))," ")</f>
        <v xml:space="preserve"> </v>
      </c>
      <c r="E102" t="str">
        <f>IFERROR(INDEX(registro!$A:$A, MATCH($A102, registro!F:F, 0))," ")</f>
        <v xml:space="preserve"> </v>
      </c>
      <c r="F102" t="str">
        <f>IFERROR(INDEX(registro!$A:$A, MATCH($A102, registro!G:G, 0))," ")</f>
        <v xml:space="preserve"> </v>
      </c>
      <c r="G102" t="str">
        <f>IFERROR(INDEX(registro!$A:$A, MATCH($A102, registro!H:H, 0))," ")</f>
        <v xml:space="preserve"> </v>
      </c>
    </row>
    <row r="103" spans="1:7" x14ac:dyDescent="0.25">
      <c r="A103" s="3">
        <v>46331</v>
      </c>
      <c r="B103" t="str">
        <f>IFERROR(INDEX(registro!$A:$A, MATCH($A103, registro!C:C, 0))," ")</f>
        <v xml:space="preserve"> </v>
      </c>
      <c r="C103" t="str">
        <f>IFERROR(INDEX(registro!$A:$A, MATCH($A103, registro!D:D, 0))," ")</f>
        <v xml:space="preserve"> </v>
      </c>
      <c r="D103" t="str">
        <f>IFERROR(INDEX(registro!$A:$A, MATCH($A103, registro!E:E, 0))," ")</f>
        <v xml:space="preserve"> </v>
      </c>
      <c r="E103" t="str">
        <f>IFERROR(INDEX(registro!$A:$A, MATCH($A103, registro!F:F, 0))," ")</f>
        <v xml:space="preserve"> </v>
      </c>
      <c r="F103" t="str">
        <f>IFERROR(INDEX(registro!$A:$A, MATCH($A103, registro!G:G, 0))," ")</f>
        <v xml:space="preserve"> </v>
      </c>
      <c r="G103" t="str">
        <f>IFERROR(INDEX(registro!$A:$A, MATCH($A103, registro!H:H, 0))," ")</f>
        <v xml:space="preserve"> </v>
      </c>
    </row>
    <row r="104" spans="1:7" x14ac:dyDescent="0.25">
      <c r="A104" s="3">
        <v>46332</v>
      </c>
      <c r="B104" t="str">
        <f>IFERROR(INDEX(registro!$A:$A, MATCH($A104, registro!C:C, 0))," ")</f>
        <v xml:space="preserve"> </v>
      </c>
      <c r="C104" t="str">
        <f>IFERROR(INDEX(registro!$A:$A, MATCH($A104, registro!D:D, 0))," ")</f>
        <v xml:space="preserve"> </v>
      </c>
      <c r="D104" t="str">
        <f>IFERROR(INDEX(registro!$A:$A, MATCH($A104, registro!E:E, 0))," ")</f>
        <v xml:space="preserve"> </v>
      </c>
      <c r="E104" t="str">
        <f>IFERROR(INDEX(registro!$A:$A, MATCH($A104, registro!F:F, 0))," ")</f>
        <v xml:space="preserve"> </v>
      </c>
      <c r="F104" t="str">
        <f>IFERROR(INDEX(registro!$A:$A, MATCH($A104, registro!G:G, 0))," ")</f>
        <v xml:space="preserve"> </v>
      </c>
      <c r="G104" t="str">
        <f>IFERROR(INDEX(registro!$A:$A, MATCH($A104, registro!H:H, 0))," ")</f>
        <v xml:space="preserve"> </v>
      </c>
    </row>
    <row r="105" spans="1:7" x14ac:dyDescent="0.25">
      <c r="A105" s="3">
        <v>46333</v>
      </c>
      <c r="B105" t="str">
        <f>IFERROR(INDEX(registro!$A:$A, MATCH($A105, registro!C:C, 0))," ")</f>
        <v xml:space="preserve"> </v>
      </c>
      <c r="C105" t="str">
        <f>IFERROR(INDEX(registro!$A:$A, MATCH($A105, registro!D:D, 0))," ")</f>
        <v xml:space="preserve"> </v>
      </c>
      <c r="D105" t="str">
        <f>IFERROR(INDEX(registro!$A:$A, MATCH($A105, registro!E:E, 0))," ")</f>
        <v xml:space="preserve"> </v>
      </c>
      <c r="E105" t="str">
        <f>IFERROR(INDEX(registro!$A:$A, MATCH($A105, registro!F:F, 0))," ")</f>
        <v xml:space="preserve"> </v>
      </c>
      <c r="F105" t="str">
        <f>IFERROR(INDEX(registro!$A:$A, MATCH($A105, registro!G:G, 0))," ")</f>
        <v xml:space="preserve"> </v>
      </c>
      <c r="G105" t="str">
        <f>IFERROR(INDEX(registro!$A:$A, MATCH($A105, registro!H:H, 0))," ")</f>
        <v xml:space="preserve"> </v>
      </c>
    </row>
    <row r="106" spans="1:7" x14ac:dyDescent="0.25">
      <c r="A106" s="3">
        <v>46334</v>
      </c>
      <c r="B106" t="str">
        <f>IFERROR(INDEX(registro!$A:$A, MATCH($A106, registro!C:C, 0))," ")</f>
        <v xml:space="preserve"> </v>
      </c>
      <c r="C106" t="str">
        <f>IFERROR(INDEX(registro!$A:$A, MATCH($A106, registro!D:D, 0))," ")</f>
        <v xml:space="preserve"> </v>
      </c>
      <c r="D106" t="str">
        <f>IFERROR(INDEX(registro!$A:$A, MATCH($A106, registro!E:E, 0))," ")</f>
        <v xml:space="preserve"> </v>
      </c>
      <c r="E106" t="str">
        <f>IFERROR(INDEX(registro!$A:$A, MATCH($A106, registro!F:F, 0))," ")</f>
        <v xml:space="preserve"> </v>
      </c>
      <c r="F106" t="str">
        <f>IFERROR(INDEX(registro!$A:$A, MATCH($A106, registro!G:G, 0))," ")</f>
        <v xml:space="preserve"> </v>
      </c>
      <c r="G106" t="str">
        <f>IFERROR(INDEX(registro!$A:$A, MATCH($A106, registro!H:H, 0))," ")</f>
        <v xml:space="preserve"> </v>
      </c>
    </row>
    <row r="107" spans="1:7" x14ac:dyDescent="0.25">
      <c r="A107" s="3">
        <v>46335</v>
      </c>
      <c r="B107" t="str">
        <f>IFERROR(INDEX(registro!$A:$A, MATCH($A107, registro!C:C, 0))," ")</f>
        <v xml:space="preserve"> </v>
      </c>
      <c r="C107" t="str">
        <f>IFERROR(INDEX(registro!$A:$A, MATCH($A107, registro!D:D, 0))," ")</f>
        <v xml:space="preserve"> </v>
      </c>
      <c r="D107" t="str">
        <f>IFERROR(INDEX(registro!$A:$A, MATCH($A107, registro!E:E, 0))," ")</f>
        <v xml:space="preserve"> </v>
      </c>
      <c r="E107" t="str">
        <f>IFERROR(INDEX(registro!$A:$A, MATCH($A107, registro!F:F, 0))," ")</f>
        <v xml:space="preserve"> </v>
      </c>
      <c r="F107" t="str">
        <f>IFERROR(INDEX(registro!$A:$A, MATCH($A107, registro!G:G, 0))," ")</f>
        <v xml:space="preserve"> </v>
      </c>
      <c r="G107" t="str">
        <f>IFERROR(INDEX(registro!$A:$A, MATCH($A107, registro!H:H, 0))," ")</f>
        <v xml:space="preserve"> </v>
      </c>
    </row>
    <row r="108" spans="1:7" x14ac:dyDescent="0.25">
      <c r="A108" s="3">
        <v>46336</v>
      </c>
      <c r="B108" t="str">
        <f>IFERROR(INDEX(registro!$A:$A, MATCH($A108, registro!C:C, 0))," ")</f>
        <v xml:space="preserve"> </v>
      </c>
      <c r="C108" t="str">
        <f>IFERROR(INDEX(registro!$A:$A, MATCH($A108, registro!D:D, 0))," ")</f>
        <v xml:space="preserve"> </v>
      </c>
      <c r="D108" t="str">
        <f>IFERROR(INDEX(registro!$A:$A, MATCH($A108, registro!E:E, 0))," ")</f>
        <v xml:space="preserve"> </v>
      </c>
      <c r="E108" t="str">
        <f>IFERROR(INDEX(registro!$A:$A, MATCH($A108, registro!F:F, 0))," ")</f>
        <v xml:space="preserve"> </v>
      </c>
      <c r="F108" t="str">
        <f>IFERROR(INDEX(registro!$A:$A, MATCH($A108, registro!G:G, 0))," ")</f>
        <v xml:space="preserve"> </v>
      </c>
      <c r="G108" t="str">
        <f>IFERROR(INDEX(registro!$A:$A, MATCH($A108, registro!H:H, 0))," ")</f>
        <v xml:space="preserve"> </v>
      </c>
    </row>
    <row r="109" spans="1:7" x14ac:dyDescent="0.25">
      <c r="A109" s="3">
        <v>46337</v>
      </c>
      <c r="B109" t="str">
        <f>IFERROR(INDEX(registro!$A:$A, MATCH($A109, registro!C:C, 0))," ")</f>
        <v xml:space="preserve"> </v>
      </c>
      <c r="C109" t="str">
        <f>IFERROR(INDEX(registro!$A:$A, MATCH($A109, registro!D:D, 0))," ")</f>
        <v xml:space="preserve"> </v>
      </c>
      <c r="D109" t="str">
        <f>IFERROR(INDEX(registro!$A:$A, MATCH($A109, registro!E:E, 0))," ")</f>
        <v xml:space="preserve"> </v>
      </c>
      <c r="E109" t="str">
        <f>IFERROR(INDEX(registro!$A:$A, MATCH($A109, registro!F:F, 0))," ")</f>
        <v xml:space="preserve"> </v>
      </c>
      <c r="F109" t="str">
        <f>IFERROR(INDEX(registro!$A:$A, MATCH($A109, registro!G:G, 0))," ")</f>
        <v xml:space="preserve"> </v>
      </c>
      <c r="G109" t="str">
        <f>IFERROR(INDEX(registro!$A:$A, MATCH($A109, registro!H:H, 0))," ")</f>
        <v xml:space="preserve"> </v>
      </c>
    </row>
    <row r="110" spans="1:7" x14ac:dyDescent="0.25">
      <c r="A110" s="3">
        <v>46338</v>
      </c>
      <c r="B110" t="str">
        <f>IFERROR(INDEX(registro!$A:$A, MATCH($A110, registro!C:C, 0))," ")</f>
        <v xml:space="preserve"> </v>
      </c>
      <c r="C110" t="str">
        <f>IFERROR(INDEX(registro!$A:$A, MATCH($A110, registro!D:D, 0))," ")</f>
        <v xml:space="preserve"> </v>
      </c>
      <c r="D110" t="str">
        <f>IFERROR(INDEX(registro!$A:$A, MATCH($A110, registro!E:E, 0))," ")</f>
        <v xml:space="preserve"> </v>
      </c>
      <c r="E110" t="str">
        <f>IFERROR(INDEX(registro!$A:$A, MATCH($A110, registro!F:F, 0))," ")</f>
        <v xml:space="preserve"> </v>
      </c>
      <c r="F110" t="str">
        <f>IFERROR(INDEX(registro!$A:$A, MATCH($A110, registro!G:G, 0))," ")</f>
        <v xml:space="preserve"> </v>
      </c>
      <c r="G110" t="str">
        <f>IFERROR(INDEX(registro!$A:$A, MATCH($A110, registro!H:H, 0))," ")</f>
        <v xml:space="preserve"> </v>
      </c>
    </row>
    <row r="111" spans="1:7" x14ac:dyDescent="0.25">
      <c r="A111" s="3">
        <v>46339</v>
      </c>
      <c r="B111" t="str">
        <f>IFERROR(INDEX(registro!$A:$A, MATCH($A111, registro!C:C, 0))," ")</f>
        <v xml:space="preserve"> </v>
      </c>
      <c r="C111" t="str">
        <f>IFERROR(INDEX(registro!$A:$A, MATCH($A111, registro!D:D, 0))," ")</f>
        <v xml:space="preserve"> </v>
      </c>
      <c r="D111" t="str">
        <f>IFERROR(INDEX(registro!$A:$A, MATCH($A111, registro!E:E, 0))," ")</f>
        <v xml:space="preserve"> </v>
      </c>
      <c r="E111" t="str">
        <f>IFERROR(INDEX(registro!$A:$A, MATCH($A111, registro!F:F, 0))," ")</f>
        <v xml:space="preserve"> </v>
      </c>
      <c r="F111" t="str">
        <f>IFERROR(INDEX(registro!$A:$A, MATCH($A111, registro!G:G, 0))," ")</f>
        <v xml:space="preserve"> </v>
      </c>
      <c r="G111" t="str">
        <f>IFERROR(INDEX(registro!$A:$A, MATCH($A111, registro!H:H, 0))," ")</f>
        <v xml:space="preserve"> </v>
      </c>
    </row>
    <row r="112" spans="1:7" x14ac:dyDescent="0.25">
      <c r="A112" s="3">
        <v>46340</v>
      </c>
      <c r="B112" t="str">
        <f>IFERROR(INDEX(registro!$A:$A, MATCH($A112, registro!C:C, 0))," ")</f>
        <v xml:space="preserve"> </v>
      </c>
      <c r="C112" t="str">
        <f>IFERROR(INDEX(registro!$A:$A, MATCH($A112, registro!D:D, 0))," ")</f>
        <v xml:space="preserve"> </v>
      </c>
      <c r="D112" t="str">
        <f>IFERROR(INDEX(registro!$A:$A, MATCH($A112, registro!E:E, 0))," ")</f>
        <v xml:space="preserve"> </v>
      </c>
      <c r="E112" t="str">
        <f>IFERROR(INDEX(registro!$A:$A, MATCH($A112, registro!F:F, 0))," ")</f>
        <v xml:space="preserve"> </v>
      </c>
      <c r="F112" t="str">
        <f>IFERROR(INDEX(registro!$A:$A, MATCH($A112, registro!G:G, 0))," ")</f>
        <v xml:space="preserve"> </v>
      </c>
      <c r="G112" t="str">
        <f>IFERROR(INDEX(registro!$A:$A, MATCH($A112, registro!H:H, 0))," ")</f>
        <v xml:space="preserve"> </v>
      </c>
    </row>
    <row r="113" spans="1:7" x14ac:dyDescent="0.25">
      <c r="A113" s="3">
        <v>46341</v>
      </c>
      <c r="B113" t="str">
        <f>IFERROR(INDEX(registro!$A:$A, MATCH($A113, registro!C:C, 0))," ")</f>
        <v xml:space="preserve"> </v>
      </c>
      <c r="C113" t="str">
        <f>IFERROR(INDEX(registro!$A:$A, MATCH($A113, registro!D:D, 0))," ")</f>
        <v xml:space="preserve"> </v>
      </c>
      <c r="D113" t="str">
        <f>IFERROR(INDEX(registro!$A:$A, MATCH($A113, registro!E:E, 0))," ")</f>
        <v xml:space="preserve"> </v>
      </c>
      <c r="E113" t="str">
        <f>IFERROR(INDEX(registro!$A:$A, MATCH($A113, registro!F:F, 0))," ")</f>
        <v xml:space="preserve"> </v>
      </c>
      <c r="F113" t="str">
        <f>IFERROR(INDEX(registro!$A:$A, MATCH($A113, registro!G:G, 0))," ")</f>
        <v xml:space="preserve"> </v>
      </c>
      <c r="G113" t="str">
        <f>IFERROR(INDEX(registro!$A:$A, MATCH($A113, registro!H:H, 0))," ")</f>
        <v xml:space="preserve"> </v>
      </c>
    </row>
    <row r="114" spans="1:7" x14ac:dyDescent="0.25">
      <c r="A114" s="3">
        <v>46342</v>
      </c>
      <c r="B114" t="str">
        <f>IFERROR(INDEX(registro!$A:$A, MATCH($A114, registro!C:C, 0))," ")</f>
        <v xml:space="preserve"> </v>
      </c>
      <c r="C114" t="str">
        <f>IFERROR(INDEX(registro!$A:$A, MATCH($A114, registro!D:D, 0))," ")</f>
        <v xml:space="preserve"> </v>
      </c>
      <c r="D114" t="str">
        <f>IFERROR(INDEX(registro!$A:$A, MATCH($A114, registro!E:E, 0))," ")</f>
        <v xml:space="preserve"> </v>
      </c>
      <c r="E114" t="str">
        <f>IFERROR(INDEX(registro!$A:$A, MATCH($A114, registro!F:F, 0))," ")</f>
        <v xml:space="preserve"> </v>
      </c>
      <c r="F114" t="str">
        <f>IFERROR(INDEX(registro!$A:$A, MATCH($A114, registro!G:G, 0))," ")</f>
        <v xml:space="preserve"> </v>
      </c>
      <c r="G114" t="str">
        <f>IFERROR(INDEX(registro!$A:$A, MATCH($A114, registro!H:H, 0))," ")</f>
        <v xml:space="preserve"> </v>
      </c>
    </row>
    <row r="115" spans="1:7" x14ac:dyDescent="0.25">
      <c r="A115" s="3">
        <v>46343</v>
      </c>
      <c r="B115" t="str">
        <f>IFERROR(INDEX(registro!$A:$A, MATCH($A115, registro!C:C, 0))," ")</f>
        <v xml:space="preserve"> </v>
      </c>
      <c r="C115" t="str">
        <f>IFERROR(INDEX(registro!$A:$A, MATCH($A115, registro!D:D, 0))," ")</f>
        <v xml:space="preserve"> </v>
      </c>
      <c r="D115" t="str">
        <f>IFERROR(INDEX(registro!$A:$A, MATCH($A115, registro!E:E, 0))," ")</f>
        <v xml:space="preserve"> </v>
      </c>
      <c r="E115" t="str">
        <f>IFERROR(INDEX(registro!$A:$A, MATCH($A115, registro!F:F, 0))," ")</f>
        <v xml:space="preserve"> </v>
      </c>
      <c r="F115" t="str">
        <f>IFERROR(INDEX(registro!$A:$A, MATCH($A115, registro!G:G, 0))," ")</f>
        <v xml:space="preserve"> </v>
      </c>
      <c r="G115" t="str">
        <f>IFERROR(INDEX(registro!$A:$A, MATCH($A115, registro!H:H, 0))," ")</f>
        <v xml:space="preserve"> </v>
      </c>
    </row>
    <row r="116" spans="1:7" x14ac:dyDescent="0.25">
      <c r="A116" s="3">
        <v>46344</v>
      </c>
      <c r="B116" t="str">
        <f>IFERROR(INDEX(registro!$A:$A, MATCH($A116, registro!C:C, 0))," ")</f>
        <v xml:space="preserve"> </v>
      </c>
      <c r="C116" t="str">
        <f>IFERROR(INDEX(registro!$A:$A, MATCH($A116, registro!D:D, 0))," ")</f>
        <v xml:space="preserve"> </v>
      </c>
      <c r="D116" t="str">
        <f>IFERROR(INDEX(registro!$A:$A, MATCH($A116, registro!E:E, 0))," ")</f>
        <v xml:space="preserve"> </v>
      </c>
      <c r="E116" t="str">
        <f>IFERROR(INDEX(registro!$A:$A, MATCH($A116, registro!F:F, 0))," ")</f>
        <v xml:space="preserve"> </v>
      </c>
      <c r="F116" t="str">
        <f>IFERROR(INDEX(registro!$A:$A, MATCH($A116, registro!G:G, 0))," ")</f>
        <v xml:space="preserve"> </v>
      </c>
      <c r="G116" t="str">
        <f>IFERROR(INDEX(registro!$A:$A, MATCH($A116, registro!H:H, 0))," ")</f>
        <v xml:space="preserve"> </v>
      </c>
    </row>
    <row r="117" spans="1:7" x14ac:dyDescent="0.25">
      <c r="A117" s="3">
        <v>46345</v>
      </c>
      <c r="B117" t="str">
        <f>IFERROR(INDEX(registro!$A:$A, MATCH($A117, registro!C:C, 0))," ")</f>
        <v xml:space="preserve"> </v>
      </c>
      <c r="C117" t="str">
        <f>IFERROR(INDEX(registro!$A:$A, MATCH($A117, registro!D:D, 0))," ")</f>
        <v xml:space="preserve"> </v>
      </c>
      <c r="D117" t="str">
        <f>IFERROR(INDEX(registro!$A:$A, MATCH($A117, registro!E:E, 0))," ")</f>
        <v xml:space="preserve"> </v>
      </c>
      <c r="E117" t="str">
        <f>IFERROR(INDEX(registro!$A:$A, MATCH($A117, registro!F:F, 0))," ")</f>
        <v xml:space="preserve"> </v>
      </c>
      <c r="F117" t="str">
        <f>IFERROR(INDEX(registro!$A:$A, MATCH($A117, registro!G:G, 0))," ")</f>
        <v xml:space="preserve"> </v>
      </c>
      <c r="G117" t="str">
        <f>IFERROR(INDEX(registro!$A:$A, MATCH($A117, registro!H:H, 0))," ")</f>
        <v xml:space="preserve"> </v>
      </c>
    </row>
    <row r="118" spans="1:7" x14ac:dyDescent="0.25">
      <c r="A118" s="3">
        <v>46346</v>
      </c>
      <c r="B118" t="str">
        <f>IFERROR(INDEX(registro!$A:$A, MATCH($A118, registro!C:C, 0))," ")</f>
        <v xml:space="preserve"> </v>
      </c>
      <c r="C118" t="str">
        <f>IFERROR(INDEX(registro!$A:$A, MATCH($A118, registro!D:D, 0))," ")</f>
        <v xml:space="preserve"> </v>
      </c>
      <c r="D118" t="str">
        <f>IFERROR(INDEX(registro!$A:$A, MATCH($A118, registro!E:E, 0))," ")</f>
        <v xml:space="preserve"> </v>
      </c>
      <c r="E118" t="str">
        <f>IFERROR(INDEX(registro!$A:$A, MATCH($A118, registro!F:F, 0))," ")</f>
        <v xml:space="preserve"> </v>
      </c>
      <c r="F118" t="str">
        <f>IFERROR(INDEX(registro!$A:$A, MATCH($A118, registro!G:G, 0))," ")</f>
        <v xml:space="preserve"> </v>
      </c>
      <c r="G118" t="str">
        <f>IFERROR(INDEX(registro!$A:$A, MATCH($A118, registro!H:H, 0))," ")</f>
        <v xml:space="preserve"> </v>
      </c>
    </row>
    <row r="119" spans="1:7" x14ac:dyDescent="0.25">
      <c r="A119" s="3">
        <v>46347</v>
      </c>
      <c r="B119" t="str">
        <f>IFERROR(INDEX(registro!$A:$A, MATCH($A119, registro!C:C, 0))," ")</f>
        <v xml:space="preserve"> </v>
      </c>
      <c r="C119" t="str">
        <f>IFERROR(INDEX(registro!$A:$A, MATCH($A119, registro!D:D, 0))," ")</f>
        <v xml:space="preserve"> </v>
      </c>
      <c r="D119" t="str">
        <f>IFERROR(INDEX(registro!$A:$A, MATCH($A119, registro!E:E, 0))," ")</f>
        <v xml:space="preserve"> </v>
      </c>
      <c r="E119" t="str">
        <f>IFERROR(INDEX(registro!$A:$A, MATCH($A119, registro!F:F, 0))," ")</f>
        <v xml:space="preserve"> </v>
      </c>
      <c r="F119" t="str">
        <f>IFERROR(INDEX(registro!$A:$A, MATCH($A119, registro!G:G, 0))," ")</f>
        <v xml:space="preserve"> </v>
      </c>
      <c r="G119" t="str">
        <f>IFERROR(INDEX(registro!$A:$A, MATCH($A119, registro!H:H, 0))," ")</f>
        <v xml:space="preserve"> </v>
      </c>
    </row>
    <row r="120" spans="1:7" x14ac:dyDescent="0.25">
      <c r="A120" s="3">
        <v>46348</v>
      </c>
      <c r="B120" t="str">
        <f>IFERROR(INDEX(registro!$A:$A, MATCH($A120, registro!C:C, 0))," ")</f>
        <v xml:space="preserve"> </v>
      </c>
      <c r="C120" t="str">
        <f>IFERROR(INDEX(registro!$A:$A, MATCH($A120, registro!D:D, 0))," ")</f>
        <v xml:space="preserve"> </v>
      </c>
      <c r="D120" t="str">
        <f>IFERROR(INDEX(registro!$A:$A, MATCH($A120, registro!E:E, 0))," ")</f>
        <v xml:space="preserve"> </v>
      </c>
      <c r="E120" t="str">
        <f>IFERROR(INDEX(registro!$A:$A, MATCH($A120, registro!F:F, 0))," ")</f>
        <v xml:space="preserve"> </v>
      </c>
      <c r="F120" t="str">
        <f>IFERROR(INDEX(registro!$A:$A, MATCH($A120, registro!G:G, 0))," ")</f>
        <v xml:space="preserve"> </v>
      </c>
      <c r="G120" t="str">
        <f>IFERROR(INDEX(registro!$A:$A, MATCH($A120, registro!H:H, 0))," ")</f>
        <v xml:space="preserve"> </v>
      </c>
    </row>
    <row r="121" spans="1:7" x14ac:dyDescent="0.25">
      <c r="A121" s="3">
        <v>46349</v>
      </c>
      <c r="B121" t="str">
        <f>IFERROR(INDEX(registro!$A:$A, MATCH($A121, registro!C:C, 0))," ")</f>
        <v xml:space="preserve"> </v>
      </c>
      <c r="C121" t="str">
        <f>IFERROR(INDEX(registro!$A:$A, MATCH($A121, registro!D:D, 0))," ")</f>
        <v xml:space="preserve"> </v>
      </c>
      <c r="D121" t="str">
        <f>IFERROR(INDEX(registro!$A:$A, MATCH($A121, registro!E:E, 0))," ")</f>
        <v xml:space="preserve"> </v>
      </c>
      <c r="E121" t="str">
        <f>IFERROR(INDEX(registro!$A:$A, MATCH($A121, registro!F:F, 0))," ")</f>
        <v xml:space="preserve"> </v>
      </c>
      <c r="F121" t="str">
        <f>IFERROR(INDEX(registro!$A:$A, MATCH($A121, registro!G:G, 0))," ")</f>
        <v xml:space="preserve"> </v>
      </c>
      <c r="G121" t="str">
        <f>IFERROR(INDEX(registro!$A:$A, MATCH($A121, registro!H:H, 0))," ")</f>
        <v xml:space="preserve"> </v>
      </c>
    </row>
    <row r="122" spans="1:7" x14ac:dyDescent="0.25">
      <c r="A122" s="3">
        <v>46350</v>
      </c>
      <c r="B122" t="str">
        <f>IFERROR(INDEX(registro!$A:$A, MATCH($A122, registro!C:C, 0))," ")</f>
        <v xml:space="preserve"> </v>
      </c>
      <c r="C122" t="str">
        <f>IFERROR(INDEX(registro!$A:$A, MATCH($A122, registro!D:D, 0))," ")</f>
        <v xml:space="preserve"> </v>
      </c>
      <c r="D122" t="str">
        <f>IFERROR(INDEX(registro!$A:$A, MATCH($A122, registro!E:E, 0))," ")</f>
        <v xml:space="preserve"> </v>
      </c>
      <c r="E122" t="str">
        <f>IFERROR(INDEX(registro!$A:$A, MATCH($A122, registro!F:F, 0))," ")</f>
        <v xml:space="preserve"> </v>
      </c>
      <c r="F122" t="str">
        <f>IFERROR(INDEX(registro!$A:$A, MATCH($A122, registro!G:G, 0))," ")</f>
        <v xml:space="preserve"> </v>
      </c>
      <c r="G122" t="str">
        <f>IFERROR(INDEX(registro!$A:$A, MATCH($A122, registro!H:H, 0))," ")</f>
        <v xml:space="preserve"> </v>
      </c>
    </row>
    <row r="123" spans="1:7" x14ac:dyDescent="0.25">
      <c r="A123" s="3">
        <v>46351</v>
      </c>
      <c r="B123" t="str">
        <f>IFERROR(INDEX(registro!$A:$A, MATCH($A123, registro!C:C, 0))," ")</f>
        <v xml:space="preserve"> </v>
      </c>
      <c r="C123" t="str">
        <f>IFERROR(INDEX(registro!$A:$A, MATCH($A123, registro!D:D, 0))," ")</f>
        <v xml:space="preserve"> </v>
      </c>
      <c r="D123" t="str">
        <f>IFERROR(INDEX(registro!$A:$A, MATCH($A123, registro!E:E, 0))," ")</f>
        <v xml:space="preserve"> </v>
      </c>
      <c r="E123" t="str">
        <f>IFERROR(INDEX(registro!$A:$A, MATCH($A123, registro!F:F, 0))," ")</f>
        <v xml:space="preserve"> </v>
      </c>
      <c r="F123" t="str">
        <f>IFERROR(INDEX(registro!$A:$A, MATCH($A123, registro!G:G, 0))," ")</f>
        <v xml:space="preserve"> </v>
      </c>
      <c r="G123" t="str">
        <f>IFERROR(INDEX(registro!$A:$A, MATCH($A123, registro!H:H, 0))," ")</f>
        <v xml:space="preserve"> </v>
      </c>
    </row>
    <row r="124" spans="1:7" x14ac:dyDescent="0.25">
      <c r="A124" s="3">
        <v>46352</v>
      </c>
      <c r="B124" t="str">
        <f>IFERROR(INDEX(registro!$A:$A, MATCH($A124, registro!C:C, 0))," ")</f>
        <v xml:space="preserve"> </v>
      </c>
      <c r="C124" t="str">
        <f>IFERROR(INDEX(registro!$A:$A, MATCH($A124, registro!D:D, 0))," ")</f>
        <v xml:space="preserve"> </v>
      </c>
      <c r="D124" t="str">
        <f>IFERROR(INDEX(registro!$A:$A, MATCH($A124, registro!E:E, 0))," ")</f>
        <v xml:space="preserve"> </v>
      </c>
      <c r="E124" t="str">
        <f>IFERROR(INDEX(registro!$A:$A, MATCH($A124, registro!F:F, 0))," ")</f>
        <v xml:space="preserve"> </v>
      </c>
      <c r="F124" t="str">
        <f>IFERROR(INDEX(registro!$A:$A, MATCH($A124, registro!G:G, 0))," ")</f>
        <v xml:space="preserve"> </v>
      </c>
      <c r="G124" t="str">
        <f>IFERROR(INDEX(registro!$A:$A, MATCH($A124, registro!H:H, 0))," ")</f>
        <v xml:space="preserve"> </v>
      </c>
    </row>
    <row r="125" spans="1:7" x14ac:dyDescent="0.25">
      <c r="A125" s="3">
        <v>46353</v>
      </c>
      <c r="B125" t="str">
        <f>IFERROR(INDEX(registro!$A:$A, MATCH($A125, registro!C:C, 0))," ")</f>
        <v xml:space="preserve"> </v>
      </c>
      <c r="C125" t="str">
        <f>IFERROR(INDEX(registro!$A:$A, MATCH($A125, registro!D:D, 0))," ")</f>
        <v xml:space="preserve"> </v>
      </c>
      <c r="D125" t="str">
        <f>IFERROR(INDEX(registro!$A:$A, MATCH($A125, registro!E:E, 0))," ")</f>
        <v xml:space="preserve"> </v>
      </c>
      <c r="E125" t="str">
        <f>IFERROR(INDEX(registro!$A:$A, MATCH($A125, registro!F:F, 0))," ")</f>
        <v xml:space="preserve"> </v>
      </c>
      <c r="F125" t="str">
        <f>IFERROR(INDEX(registro!$A:$A, MATCH($A125, registro!G:G, 0))," ")</f>
        <v xml:space="preserve"> </v>
      </c>
      <c r="G125" t="str">
        <f>IFERROR(INDEX(registro!$A:$A, MATCH($A125, registro!H:H, 0))," ")</f>
        <v xml:space="preserve"> </v>
      </c>
    </row>
    <row r="126" spans="1:7" x14ac:dyDescent="0.25">
      <c r="A126" s="3">
        <v>46354</v>
      </c>
      <c r="B126" t="str">
        <f>IFERROR(INDEX(registro!$A:$A, MATCH($A126, registro!C:C, 0))," ")</f>
        <v xml:space="preserve"> </v>
      </c>
      <c r="C126" t="str">
        <f>IFERROR(INDEX(registro!$A:$A, MATCH($A126, registro!D:D, 0))," ")</f>
        <v xml:space="preserve"> </v>
      </c>
      <c r="D126" t="str">
        <f>IFERROR(INDEX(registro!$A:$A, MATCH($A126, registro!E:E, 0))," ")</f>
        <v xml:space="preserve"> </v>
      </c>
      <c r="E126" t="str">
        <f>IFERROR(INDEX(registro!$A:$A, MATCH($A126, registro!F:F, 0))," ")</f>
        <v xml:space="preserve"> </v>
      </c>
      <c r="F126" t="str">
        <f>IFERROR(INDEX(registro!$A:$A, MATCH($A126, registro!G:G, 0))," ")</f>
        <v xml:space="preserve"> </v>
      </c>
      <c r="G126" t="str">
        <f>IFERROR(INDEX(registro!$A:$A, MATCH($A126, registro!H:H, 0))," ")</f>
        <v xml:space="preserve"> </v>
      </c>
    </row>
    <row r="127" spans="1:7" x14ac:dyDescent="0.25">
      <c r="A127" s="3">
        <v>46355</v>
      </c>
      <c r="B127" t="str">
        <f>IFERROR(INDEX(registro!$A:$A, MATCH($A127, registro!C:C, 0))," ")</f>
        <v xml:space="preserve"> </v>
      </c>
      <c r="C127" t="str">
        <f>IFERROR(INDEX(registro!$A:$A, MATCH($A127, registro!D:D, 0))," ")</f>
        <v xml:space="preserve"> </v>
      </c>
      <c r="D127" t="str">
        <f>IFERROR(INDEX(registro!$A:$A, MATCH($A127, registro!E:E, 0))," ")</f>
        <v xml:space="preserve"> </v>
      </c>
      <c r="E127" t="str">
        <f>IFERROR(INDEX(registro!$A:$A, MATCH($A127, registro!F:F, 0))," ")</f>
        <v xml:space="preserve"> </v>
      </c>
      <c r="F127" t="str">
        <f>IFERROR(INDEX(registro!$A:$A, MATCH($A127, registro!G:G, 0))," ")</f>
        <v xml:space="preserve"> </v>
      </c>
      <c r="G127" t="str">
        <f>IFERROR(INDEX(registro!$A:$A, MATCH($A127, registro!H:H, 0))," ")</f>
        <v xml:space="preserve"> </v>
      </c>
    </row>
    <row r="128" spans="1:7" x14ac:dyDescent="0.25">
      <c r="A128" s="3">
        <v>46356</v>
      </c>
      <c r="B128" t="str">
        <f>IFERROR(INDEX(registro!$A:$A, MATCH($A128, registro!C:C, 0))," ")</f>
        <v xml:space="preserve"> </v>
      </c>
      <c r="C128" t="str">
        <f>IFERROR(INDEX(registro!$A:$A, MATCH($A128, registro!D:D, 0))," ")</f>
        <v xml:space="preserve"> </v>
      </c>
      <c r="D128" t="str">
        <f>IFERROR(INDEX(registro!$A:$A, MATCH($A128, registro!E:E, 0))," ")</f>
        <v xml:space="preserve"> </v>
      </c>
      <c r="E128" t="str">
        <f>IFERROR(INDEX(registro!$A:$A, MATCH($A128, registro!F:F, 0))," ")</f>
        <v xml:space="preserve"> </v>
      </c>
      <c r="F128" t="str">
        <f>IFERROR(INDEX(registro!$A:$A, MATCH($A128, registro!G:G, 0))," ")</f>
        <v xml:space="preserve"> </v>
      </c>
      <c r="G128" t="str">
        <f>IFERROR(INDEX(registro!$A:$A, MATCH($A128, registro!H:H, 0))," ")</f>
        <v xml:space="preserve"> </v>
      </c>
    </row>
    <row r="129" spans="1:7" x14ac:dyDescent="0.25">
      <c r="A129" s="3">
        <v>46357</v>
      </c>
      <c r="B129" t="str">
        <f>IFERROR(INDEX(registro!$A:$A, MATCH($A129, registro!C:C, 0))," ")</f>
        <v xml:space="preserve"> </v>
      </c>
      <c r="C129" t="str">
        <f>IFERROR(INDEX(registro!$A:$A, MATCH($A129, registro!D:D, 0))," ")</f>
        <v xml:space="preserve"> </v>
      </c>
      <c r="D129" t="str">
        <f>IFERROR(INDEX(registro!$A:$A, MATCH($A129, registro!E:E, 0))," ")</f>
        <v xml:space="preserve"> </v>
      </c>
      <c r="E129" t="str">
        <f>IFERROR(INDEX(registro!$A:$A, MATCH($A129, registro!F:F, 0))," ")</f>
        <v xml:space="preserve"> </v>
      </c>
      <c r="F129" t="str">
        <f>IFERROR(INDEX(registro!$A:$A, MATCH($A129, registro!G:G, 0))," ")</f>
        <v xml:space="preserve"> </v>
      </c>
      <c r="G129" t="str">
        <f>IFERROR(INDEX(registro!$A:$A, MATCH($A129, registro!H:H, 0))," ")</f>
        <v xml:space="preserve"> </v>
      </c>
    </row>
    <row r="130" spans="1:7" x14ac:dyDescent="0.25">
      <c r="A130" s="3">
        <v>46358</v>
      </c>
      <c r="B130" t="str">
        <f>IFERROR(INDEX(registro!$A:$A, MATCH($A130, registro!C:C, 0))," ")</f>
        <v xml:space="preserve"> </v>
      </c>
      <c r="C130" t="str">
        <f>IFERROR(INDEX(registro!$A:$A, MATCH($A130, registro!D:D, 0))," ")</f>
        <v xml:space="preserve"> </v>
      </c>
      <c r="D130" t="str">
        <f>IFERROR(INDEX(registro!$A:$A, MATCH($A130, registro!E:E, 0))," ")</f>
        <v xml:space="preserve"> </v>
      </c>
      <c r="E130" t="str">
        <f>IFERROR(INDEX(registro!$A:$A, MATCH($A130, registro!F:F, 0))," ")</f>
        <v xml:space="preserve"> </v>
      </c>
      <c r="F130" t="str">
        <f>IFERROR(INDEX(registro!$A:$A, MATCH($A130, registro!G:G, 0))," ")</f>
        <v>Português - Classes gramaticais</v>
      </c>
      <c r="G130" t="str">
        <f>IFERROR(INDEX(registro!$A:$A, MATCH($A130, registro!H:H, 0))," ")</f>
        <v xml:space="preserve"> </v>
      </c>
    </row>
    <row r="131" spans="1:7" x14ac:dyDescent="0.25">
      <c r="A131" s="3">
        <v>46359</v>
      </c>
      <c r="B131" t="str">
        <f>IFERROR(INDEX(registro!$A:$A, MATCH($A131, registro!C:C, 0))," ")</f>
        <v xml:space="preserve"> </v>
      </c>
      <c r="C131" t="str">
        <f>IFERROR(INDEX(registro!$A:$A, MATCH($A131, registro!D:D, 0))," ")</f>
        <v xml:space="preserve"> </v>
      </c>
      <c r="D131" t="str">
        <f>IFERROR(INDEX(registro!$A:$A, MATCH($A131, registro!E:E, 0))," ")</f>
        <v xml:space="preserve"> </v>
      </c>
      <c r="E131" t="str">
        <f>IFERROR(INDEX(registro!$A:$A, MATCH($A131, registro!F:F, 0))," ")</f>
        <v xml:space="preserve"> </v>
      </c>
      <c r="F131" t="str">
        <f>IFERROR(INDEX(registro!$A:$A, MATCH($A131, registro!G:G, 0))," ")</f>
        <v xml:space="preserve"> </v>
      </c>
      <c r="G131" t="str">
        <f>IFERROR(INDEX(registro!$A:$A, MATCH($A131, registro!H:H, 0))," ")</f>
        <v xml:space="preserve"> </v>
      </c>
    </row>
    <row r="132" spans="1:7" x14ac:dyDescent="0.25">
      <c r="A132" s="3">
        <v>46360</v>
      </c>
      <c r="B132" t="str">
        <f>IFERROR(INDEX(registro!$A:$A, MATCH($A132, registro!C:C, 0))," ")</f>
        <v xml:space="preserve"> </v>
      </c>
      <c r="C132" t="str">
        <f>IFERROR(INDEX(registro!$A:$A, MATCH($A132, registro!D:D, 0))," ")</f>
        <v xml:space="preserve"> </v>
      </c>
      <c r="D132" t="str">
        <f>IFERROR(INDEX(registro!$A:$A, MATCH($A132, registro!E:E, 0))," ")</f>
        <v xml:space="preserve"> </v>
      </c>
      <c r="E132" t="str">
        <f>IFERROR(INDEX(registro!$A:$A, MATCH($A132, registro!F:F, 0))," ")</f>
        <v xml:space="preserve"> </v>
      </c>
      <c r="F132" t="str">
        <f>IFERROR(INDEX(registro!$A:$A, MATCH($A132, registro!G:G, 0))," ")</f>
        <v xml:space="preserve"> </v>
      </c>
      <c r="G132" t="str">
        <f>IFERROR(INDEX(registro!$A:$A, MATCH($A132, registro!H:H, 0))," ")</f>
        <v xml:space="preserve"> </v>
      </c>
    </row>
    <row r="133" spans="1:7" x14ac:dyDescent="0.25">
      <c r="A133" s="3">
        <v>46361</v>
      </c>
      <c r="B133" t="str">
        <f>IFERROR(INDEX(registro!$A:$A, MATCH($A133, registro!C:C, 0))," ")</f>
        <v xml:space="preserve"> </v>
      </c>
      <c r="C133" t="str">
        <f>IFERROR(INDEX(registro!$A:$A, MATCH($A133, registro!D:D, 0))," ")</f>
        <v xml:space="preserve"> </v>
      </c>
      <c r="D133" t="str">
        <f>IFERROR(INDEX(registro!$A:$A, MATCH($A133, registro!E:E, 0))," ")</f>
        <v xml:space="preserve"> </v>
      </c>
      <c r="E133" t="str">
        <f>IFERROR(INDEX(registro!$A:$A, MATCH($A133, registro!F:F, 0))," ")</f>
        <v xml:space="preserve"> </v>
      </c>
      <c r="F133" t="str">
        <f>IFERROR(INDEX(registro!$A:$A, MATCH($A133, registro!G:G, 0))," ")</f>
        <v xml:space="preserve"> </v>
      </c>
      <c r="G133" t="str">
        <f>IFERROR(INDEX(registro!$A:$A, MATCH($A133, registro!H:H, 0))," ")</f>
        <v xml:space="preserve"> </v>
      </c>
    </row>
    <row r="134" spans="1:7" x14ac:dyDescent="0.25">
      <c r="A134" s="3">
        <v>46362</v>
      </c>
      <c r="B134" t="str">
        <f>IFERROR(INDEX(registro!$A:$A, MATCH($A134, registro!C:C, 0))," ")</f>
        <v xml:space="preserve"> </v>
      </c>
      <c r="C134" t="str">
        <f>IFERROR(INDEX(registro!$A:$A, MATCH($A134, registro!D:D, 0))," ")</f>
        <v xml:space="preserve"> </v>
      </c>
      <c r="D134" t="str">
        <f>IFERROR(INDEX(registro!$A:$A, MATCH($A134, registro!E:E, 0))," ")</f>
        <v xml:space="preserve"> </v>
      </c>
      <c r="E134" t="str">
        <f>IFERROR(INDEX(registro!$A:$A, MATCH($A134, registro!F:F, 0))," ")</f>
        <v xml:space="preserve"> </v>
      </c>
      <c r="F134" t="str">
        <f>IFERROR(INDEX(registro!$A:$A, MATCH($A134, registro!G:G, 0))," ")</f>
        <v xml:space="preserve"> </v>
      </c>
      <c r="G134" t="str">
        <f>IFERROR(INDEX(registro!$A:$A, MATCH($A134, registro!H:H, 0))," ")</f>
        <v xml:space="preserve"> </v>
      </c>
    </row>
    <row r="135" spans="1:7" x14ac:dyDescent="0.25">
      <c r="A135" s="3">
        <v>46363</v>
      </c>
      <c r="B135" t="str">
        <f>IFERROR(INDEX(registro!$A:$A, MATCH($A135, registro!C:C, 0))," ")</f>
        <v xml:space="preserve"> </v>
      </c>
      <c r="C135" t="str">
        <f>IFERROR(INDEX(registro!$A:$A, MATCH($A135, registro!D:D, 0))," ")</f>
        <v xml:space="preserve"> </v>
      </c>
      <c r="D135" t="str">
        <f>IFERROR(INDEX(registro!$A:$A, MATCH($A135, registro!E:E, 0))," ")</f>
        <v xml:space="preserve"> </v>
      </c>
      <c r="E135" t="str">
        <f>IFERROR(INDEX(registro!$A:$A, MATCH($A135, registro!F:F, 0))," ")</f>
        <v xml:space="preserve"> </v>
      </c>
      <c r="F135" t="str">
        <f>IFERROR(INDEX(registro!$A:$A, MATCH($A135, registro!G:G, 0))," ")</f>
        <v xml:space="preserve"> </v>
      </c>
      <c r="G135" t="str">
        <f>IFERROR(INDEX(registro!$A:$A, MATCH($A135, registro!H:H, 0))," ")</f>
        <v xml:space="preserve"> </v>
      </c>
    </row>
    <row r="136" spans="1:7" x14ac:dyDescent="0.25">
      <c r="A136" s="3">
        <v>46364</v>
      </c>
      <c r="B136" t="str">
        <f>IFERROR(INDEX(registro!$A:$A, MATCH($A136, registro!C:C, 0))," ")</f>
        <v xml:space="preserve"> </v>
      </c>
      <c r="C136" t="str">
        <f>IFERROR(INDEX(registro!$A:$A, MATCH($A136, registro!D:D, 0))," ")</f>
        <v xml:space="preserve"> </v>
      </c>
      <c r="D136" t="str">
        <f>IFERROR(INDEX(registro!$A:$A, MATCH($A136, registro!E:E, 0))," ")</f>
        <v xml:space="preserve"> </v>
      </c>
      <c r="E136" t="str">
        <f>IFERROR(INDEX(registro!$A:$A, MATCH($A136, registro!F:F, 0))," ")</f>
        <v xml:space="preserve"> </v>
      </c>
      <c r="F136" t="str">
        <f>IFERROR(INDEX(registro!$A:$A, MATCH($A136, registro!G:G, 0))," ")</f>
        <v xml:space="preserve"> </v>
      </c>
      <c r="G136" t="str">
        <f>IFERROR(INDEX(registro!$A:$A, MATCH($A136, registro!H:H, 0))," ")</f>
        <v xml:space="preserve"> </v>
      </c>
    </row>
    <row r="137" spans="1:7" x14ac:dyDescent="0.25">
      <c r="A137" s="3">
        <v>46365</v>
      </c>
      <c r="B137" t="str">
        <f>IFERROR(INDEX(registro!$A:$A, MATCH($A137, registro!C:C, 0))," ")</f>
        <v xml:space="preserve"> </v>
      </c>
      <c r="C137" t="str">
        <f>IFERROR(INDEX(registro!$A:$A, MATCH($A137, registro!D:D, 0))," ")</f>
        <v xml:space="preserve"> </v>
      </c>
      <c r="D137" t="str">
        <f>IFERROR(INDEX(registro!$A:$A, MATCH($A137, registro!E:E, 0))," ")</f>
        <v xml:space="preserve"> </v>
      </c>
      <c r="E137" t="str">
        <f>IFERROR(INDEX(registro!$A:$A, MATCH($A137, registro!F:F, 0))," ")</f>
        <v xml:space="preserve"> </v>
      </c>
      <c r="F137" t="str">
        <f>IFERROR(INDEX(registro!$A:$A, MATCH($A137, registro!G:G, 0))," ")</f>
        <v xml:space="preserve"> </v>
      </c>
      <c r="G137" t="str">
        <f>IFERROR(INDEX(registro!$A:$A, MATCH($A137, registro!H:H, 0))," ")</f>
        <v xml:space="preserve"> </v>
      </c>
    </row>
    <row r="138" spans="1:7" x14ac:dyDescent="0.25">
      <c r="A138" s="3">
        <v>46366</v>
      </c>
      <c r="B138" t="str">
        <f>IFERROR(INDEX(registro!$A:$A, MATCH($A138, registro!C:C, 0))," ")</f>
        <v xml:space="preserve"> </v>
      </c>
      <c r="C138" t="str">
        <f>IFERROR(INDEX(registro!$A:$A, MATCH($A138, registro!D:D, 0))," ")</f>
        <v xml:space="preserve"> </v>
      </c>
      <c r="D138" t="str">
        <f>IFERROR(INDEX(registro!$A:$A, MATCH($A138, registro!E:E, 0))," ")</f>
        <v xml:space="preserve"> </v>
      </c>
      <c r="E138" t="str">
        <f>IFERROR(INDEX(registro!$A:$A, MATCH($A138, registro!F:F, 0))," ")</f>
        <v xml:space="preserve"> </v>
      </c>
      <c r="F138" t="str">
        <f>IFERROR(INDEX(registro!$A:$A, MATCH($A138, registro!G:G, 0))," ")</f>
        <v xml:space="preserve"> </v>
      </c>
      <c r="G138" t="str">
        <f>IFERROR(INDEX(registro!$A:$A, MATCH($A138, registro!H:H, 0))," ")</f>
        <v xml:space="preserve"> </v>
      </c>
    </row>
    <row r="139" spans="1:7" x14ac:dyDescent="0.25">
      <c r="A139" s="3">
        <v>46367</v>
      </c>
      <c r="B139" t="str">
        <f>IFERROR(INDEX(registro!$A:$A, MATCH($A139, registro!C:C, 0))," ")</f>
        <v xml:space="preserve"> </v>
      </c>
      <c r="C139" t="str">
        <f>IFERROR(INDEX(registro!$A:$A, MATCH($A139, registro!D:D, 0))," ")</f>
        <v xml:space="preserve"> </v>
      </c>
      <c r="D139" t="str">
        <f>IFERROR(INDEX(registro!$A:$A, MATCH($A139, registro!E:E, 0))," ")</f>
        <v xml:space="preserve"> </v>
      </c>
      <c r="E139" t="str">
        <f>IFERROR(INDEX(registro!$A:$A, MATCH($A139, registro!F:F, 0))," ")</f>
        <v xml:space="preserve"> </v>
      </c>
      <c r="F139" t="str">
        <f>IFERROR(INDEX(registro!$A:$A, MATCH($A139, registro!G:G, 0))," ")</f>
        <v xml:space="preserve"> </v>
      </c>
      <c r="G139" t="str">
        <f>IFERROR(INDEX(registro!$A:$A, MATCH($A139, registro!H:H, 0))," ")</f>
        <v xml:space="preserve"> </v>
      </c>
    </row>
    <row r="140" spans="1:7" x14ac:dyDescent="0.25">
      <c r="A140" s="3">
        <v>46368</v>
      </c>
      <c r="B140" t="str">
        <f>IFERROR(INDEX(registro!$A:$A, MATCH($A140, registro!C:C, 0))," ")</f>
        <v xml:space="preserve"> </v>
      </c>
      <c r="C140" t="str">
        <f>IFERROR(INDEX(registro!$A:$A, MATCH($A140, registro!D:D, 0))," ")</f>
        <v xml:space="preserve"> </v>
      </c>
      <c r="D140" t="str">
        <f>IFERROR(INDEX(registro!$A:$A, MATCH($A140, registro!E:E, 0))," ")</f>
        <v xml:space="preserve"> </v>
      </c>
      <c r="E140" t="str">
        <f>IFERROR(INDEX(registro!$A:$A, MATCH($A140, registro!F:F, 0))," ")</f>
        <v xml:space="preserve"> </v>
      </c>
      <c r="F140" t="str">
        <f>IFERROR(INDEX(registro!$A:$A, MATCH($A140, registro!G:G, 0))," ")</f>
        <v xml:space="preserve"> </v>
      </c>
      <c r="G140" t="str">
        <f>IFERROR(INDEX(registro!$A:$A, MATCH($A140, registro!H:H, 0))," ")</f>
        <v xml:space="preserve"> </v>
      </c>
    </row>
    <row r="141" spans="1:7" x14ac:dyDescent="0.25">
      <c r="A141" s="3">
        <v>46369</v>
      </c>
      <c r="B141" t="str">
        <f>IFERROR(INDEX(registro!$A:$A, MATCH($A141, registro!C:C, 0))," ")</f>
        <v xml:space="preserve"> </v>
      </c>
      <c r="C141" t="str">
        <f>IFERROR(INDEX(registro!$A:$A, MATCH($A141, registro!D:D, 0))," ")</f>
        <v xml:space="preserve"> </v>
      </c>
      <c r="D141" t="str">
        <f>IFERROR(INDEX(registro!$A:$A, MATCH($A141, registro!E:E, 0))," ")</f>
        <v xml:space="preserve"> </v>
      </c>
      <c r="E141" t="str">
        <f>IFERROR(INDEX(registro!$A:$A, MATCH($A141, registro!F:F, 0))," ")</f>
        <v xml:space="preserve"> </v>
      </c>
      <c r="F141" t="str">
        <f>IFERROR(INDEX(registro!$A:$A, MATCH($A141, registro!G:G, 0))," ")</f>
        <v xml:space="preserve"> </v>
      </c>
      <c r="G141" t="str">
        <f>IFERROR(INDEX(registro!$A:$A, MATCH($A141, registro!H:H, 0))," ")</f>
        <v xml:space="preserve"> </v>
      </c>
    </row>
    <row r="142" spans="1:7" x14ac:dyDescent="0.25">
      <c r="A142" s="3">
        <v>46370</v>
      </c>
      <c r="B142" t="str">
        <f>IFERROR(INDEX(registro!$A:$A, MATCH($A142, registro!C:C, 0))," ")</f>
        <v xml:space="preserve"> </v>
      </c>
      <c r="C142" t="str">
        <f>IFERROR(INDEX(registro!$A:$A, MATCH($A142, registro!D:D, 0))," ")</f>
        <v xml:space="preserve"> </v>
      </c>
      <c r="D142" t="str">
        <f>IFERROR(INDEX(registro!$A:$A, MATCH($A142, registro!E:E, 0))," ")</f>
        <v xml:space="preserve"> </v>
      </c>
      <c r="E142" t="str">
        <f>IFERROR(INDEX(registro!$A:$A, MATCH($A142, registro!F:F, 0))," ")</f>
        <v xml:space="preserve"> </v>
      </c>
      <c r="F142" t="str">
        <f>IFERROR(INDEX(registro!$A:$A, MATCH($A142, registro!G:G, 0))," ")</f>
        <v xml:space="preserve"> </v>
      </c>
      <c r="G142" t="str">
        <f>IFERROR(INDEX(registro!$A:$A, MATCH($A142, registro!H:H, 0))," ")</f>
        <v xml:space="preserve"> </v>
      </c>
    </row>
    <row r="143" spans="1:7" x14ac:dyDescent="0.25">
      <c r="A143" s="3">
        <v>46371</v>
      </c>
      <c r="B143" t="str">
        <f>IFERROR(INDEX(registro!$A:$A, MATCH($A143, registro!C:C, 0))," ")</f>
        <v xml:space="preserve"> </v>
      </c>
      <c r="C143" t="str">
        <f>IFERROR(INDEX(registro!$A:$A, MATCH($A143, registro!D:D, 0))," ")</f>
        <v xml:space="preserve"> </v>
      </c>
      <c r="D143" t="str">
        <f>IFERROR(INDEX(registro!$A:$A, MATCH($A143, registro!E:E, 0))," ")</f>
        <v xml:space="preserve"> </v>
      </c>
      <c r="E143" t="str">
        <f>IFERROR(INDEX(registro!$A:$A, MATCH($A143, registro!F:F, 0))," ")</f>
        <v xml:space="preserve"> </v>
      </c>
      <c r="F143" t="str">
        <f>IFERROR(INDEX(registro!$A:$A, MATCH($A143, registro!G:G, 0))," ")</f>
        <v xml:space="preserve"> </v>
      </c>
      <c r="G143" t="str">
        <f>IFERROR(INDEX(registro!$A:$A, MATCH($A143, registro!H:H, 0))," ")</f>
        <v xml:space="preserve"> </v>
      </c>
    </row>
    <row r="144" spans="1:7" x14ac:dyDescent="0.25">
      <c r="A144" s="3">
        <v>46372</v>
      </c>
      <c r="B144" t="str">
        <f>IFERROR(INDEX(registro!$A:$A, MATCH($A144, registro!C:C, 0))," ")</f>
        <v xml:space="preserve"> </v>
      </c>
      <c r="C144" t="str">
        <f>IFERROR(INDEX(registro!$A:$A, MATCH($A144, registro!D:D, 0))," ")</f>
        <v xml:space="preserve"> </v>
      </c>
      <c r="D144" t="str">
        <f>IFERROR(INDEX(registro!$A:$A, MATCH($A144, registro!E:E, 0))," ")</f>
        <v xml:space="preserve"> </v>
      </c>
      <c r="E144" t="str">
        <f>IFERROR(INDEX(registro!$A:$A, MATCH($A144, registro!F:F, 0))," ")</f>
        <v xml:space="preserve"> </v>
      </c>
      <c r="F144" t="str">
        <f>IFERROR(INDEX(registro!$A:$A, MATCH($A144, registro!G:G, 0))," ")</f>
        <v xml:space="preserve"> </v>
      </c>
      <c r="G144" t="str">
        <f>IFERROR(INDEX(registro!$A:$A, MATCH($A144, registro!H:H, 0))," ")</f>
        <v xml:space="preserve"> </v>
      </c>
    </row>
    <row r="145" spans="1:7" x14ac:dyDescent="0.25">
      <c r="A145" s="3">
        <v>46373</v>
      </c>
      <c r="B145" t="str">
        <f>IFERROR(INDEX(registro!$A:$A, MATCH($A145, registro!C:C, 0))," ")</f>
        <v xml:space="preserve"> </v>
      </c>
      <c r="C145" t="str">
        <f>IFERROR(INDEX(registro!$A:$A, MATCH($A145, registro!D:D, 0))," ")</f>
        <v xml:space="preserve"> </v>
      </c>
      <c r="D145" t="str">
        <f>IFERROR(INDEX(registro!$A:$A, MATCH($A145, registro!E:E, 0))," ")</f>
        <v xml:space="preserve"> </v>
      </c>
      <c r="E145" t="str">
        <f>IFERROR(INDEX(registro!$A:$A, MATCH($A145, registro!F:F, 0))," ")</f>
        <v xml:space="preserve"> </v>
      </c>
      <c r="F145" t="str">
        <f>IFERROR(INDEX(registro!$A:$A, MATCH($A145, registro!G:G, 0))," ")</f>
        <v xml:space="preserve"> </v>
      </c>
      <c r="G145" t="str">
        <f>IFERROR(INDEX(registro!$A:$A, MATCH($A145, registro!H:H, 0))," ")</f>
        <v xml:space="preserve"> </v>
      </c>
    </row>
    <row r="146" spans="1:7" x14ac:dyDescent="0.25">
      <c r="A146" s="3">
        <v>46374</v>
      </c>
      <c r="B146" t="str">
        <f>IFERROR(INDEX(registro!$A:$A, MATCH($A146, registro!C:C, 0))," ")</f>
        <v xml:space="preserve"> </v>
      </c>
      <c r="C146" t="str">
        <f>IFERROR(INDEX(registro!$A:$A, MATCH($A146, registro!D:D, 0))," ")</f>
        <v xml:space="preserve"> </v>
      </c>
      <c r="D146" t="str">
        <f>IFERROR(INDEX(registro!$A:$A, MATCH($A146, registro!E:E, 0))," ")</f>
        <v xml:space="preserve"> </v>
      </c>
      <c r="E146" t="str">
        <f>IFERROR(INDEX(registro!$A:$A, MATCH($A146, registro!F:F, 0))," ")</f>
        <v xml:space="preserve"> </v>
      </c>
      <c r="F146" t="str">
        <f>IFERROR(INDEX(registro!$A:$A, MATCH($A146, registro!G:G, 0))," ")</f>
        <v xml:space="preserve"> </v>
      </c>
      <c r="G146" t="str">
        <f>IFERROR(INDEX(registro!$A:$A, MATCH($A146, registro!H:H, 0))," ")</f>
        <v xml:space="preserve"> </v>
      </c>
    </row>
    <row r="147" spans="1:7" x14ac:dyDescent="0.25">
      <c r="A147" s="3">
        <v>46375</v>
      </c>
      <c r="B147" t="str">
        <f>IFERROR(INDEX(registro!$A:$A, MATCH($A147, registro!C:C, 0))," ")</f>
        <v xml:space="preserve"> </v>
      </c>
      <c r="C147" t="str">
        <f>IFERROR(INDEX(registro!$A:$A, MATCH($A147, registro!D:D, 0))," ")</f>
        <v xml:space="preserve"> </v>
      </c>
      <c r="D147" t="str">
        <f>IFERROR(INDEX(registro!$A:$A, MATCH($A147, registro!E:E, 0))," ")</f>
        <v xml:space="preserve"> </v>
      </c>
      <c r="E147" t="str">
        <f>IFERROR(INDEX(registro!$A:$A, MATCH($A147, registro!F:F, 0))," ")</f>
        <v xml:space="preserve"> </v>
      </c>
      <c r="F147" t="str">
        <f>IFERROR(INDEX(registro!$A:$A, MATCH($A147, registro!G:G, 0))," ")</f>
        <v xml:space="preserve"> </v>
      </c>
      <c r="G147" t="str">
        <f>IFERROR(INDEX(registro!$A:$A, MATCH($A147, registro!H:H, 0))," ")</f>
        <v xml:space="preserve"> </v>
      </c>
    </row>
    <row r="148" spans="1:7" x14ac:dyDescent="0.25">
      <c r="A148" s="3">
        <v>46376</v>
      </c>
      <c r="B148" t="str">
        <f>IFERROR(INDEX(registro!$A:$A, MATCH($A148, registro!C:C, 0))," ")</f>
        <v xml:space="preserve"> </v>
      </c>
      <c r="C148" t="str">
        <f>IFERROR(INDEX(registro!$A:$A, MATCH($A148, registro!D:D, 0))," ")</f>
        <v xml:space="preserve"> </v>
      </c>
      <c r="D148" t="str">
        <f>IFERROR(INDEX(registro!$A:$A, MATCH($A148, registro!E:E, 0))," ")</f>
        <v xml:space="preserve"> </v>
      </c>
      <c r="E148" t="str">
        <f>IFERROR(INDEX(registro!$A:$A, MATCH($A148, registro!F:F, 0))," ")</f>
        <v xml:space="preserve"> </v>
      </c>
      <c r="F148" t="str">
        <f>IFERROR(INDEX(registro!$A:$A, MATCH($A148, registro!G:G, 0))," ")</f>
        <v xml:space="preserve"> </v>
      </c>
      <c r="G148" t="str">
        <f>IFERROR(INDEX(registro!$A:$A, MATCH($A148, registro!H:H, 0))," ")</f>
        <v xml:space="preserve"> </v>
      </c>
    </row>
    <row r="149" spans="1:7" x14ac:dyDescent="0.25">
      <c r="A149" s="3">
        <v>46377</v>
      </c>
      <c r="B149" t="str">
        <f>IFERROR(INDEX(registro!$A:$A, MATCH($A149, registro!C:C, 0))," ")</f>
        <v xml:space="preserve"> </v>
      </c>
      <c r="C149" t="str">
        <f>IFERROR(INDEX(registro!$A:$A, MATCH($A149, registro!D:D, 0))," ")</f>
        <v xml:space="preserve"> </v>
      </c>
      <c r="D149" t="str">
        <f>IFERROR(INDEX(registro!$A:$A, MATCH($A149, registro!E:E, 0))," ")</f>
        <v xml:space="preserve"> </v>
      </c>
      <c r="E149" t="str">
        <f>IFERROR(INDEX(registro!$A:$A, MATCH($A149, registro!F:F, 0))," ")</f>
        <v xml:space="preserve"> </v>
      </c>
      <c r="F149" t="str">
        <f>IFERROR(INDEX(registro!$A:$A, MATCH($A149, registro!G:G, 0))," ")</f>
        <v xml:space="preserve"> </v>
      </c>
      <c r="G149" t="str">
        <f>IFERROR(INDEX(registro!$A:$A, MATCH($A149, registro!H:H, 0))," ")</f>
        <v xml:space="preserve"> </v>
      </c>
    </row>
    <row r="150" spans="1:7" x14ac:dyDescent="0.25">
      <c r="A150" s="3">
        <v>46378</v>
      </c>
      <c r="B150" t="str">
        <f>IFERROR(INDEX(registro!$A:$A, MATCH($A150, registro!C:C, 0))," ")</f>
        <v xml:space="preserve"> </v>
      </c>
      <c r="C150" t="str">
        <f>IFERROR(INDEX(registro!$A:$A, MATCH($A150, registro!D:D, 0))," ")</f>
        <v xml:space="preserve"> </v>
      </c>
      <c r="D150" t="str">
        <f>IFERROR(INDEX(registro!$A:$A, MATCH($A150, registro!E:E, 0))," ")</f>
        <v xml:space="preserve"> </v>
      </c>
      <c r="E150" t="str">
        <f>IFERROR(INDEX(registro!$A:$A, MATCH($A150, registro!F:F, 0))," ")</f>
        <v xml:space="preserve"> </v>
      </c>
      <c r="F150" t="str">
        <f>IFERROR(INDEX(registro!$A:$A, MATCH($A150, registro!G:G, 0))," ")</f>
        <v xml:space="preserve"> </v>
      </c>
      <c r="G150" t="str">
        <f>IFERROR(INDEX(registro!$A:$A, MATCH($A150, registro!H:H, 0))," ")</f>
        <v xml:space="preserve"> </v>
      </c>
    </row>
    <row r="151" spans="1:7" x14ac:dyDescent="0.25">
      <c r="A151" s="3">
        <v>46379</v>
      </c>
      <c r="B151" t="str">
        <f>IFERROR(INDEX(registro!$A:$A, MATCH($A151, registro!C:C, 0))," ")</f>
        <v xml:space="preserve"> </v>
      </c>
      <c r="C151" t="str">
        <f>IFERROR(INDEX(registro!$A:$A, MATCH($A151, registro!D:D, 0))," ")</f>
        <v xml:space="preserve"> </v>
      </c>
      <c r="D151" t="str">
        <f>IFERROR(INDEX(registro!$A:$A, MATCH($A151, registro!E:E, 0))," ")</f>
        <v xml:space="preserve"> </v>
      </c>
      <c r="E151" t="str">
        <f>IFERROR(INDEX(registro!$A:$A, MATCH($A151, registro!F:F, 0))," ")</f>
        <v xml:space="preserve"> </v>
      </c>
      <c r="F151" t="str">
        <f>IFERROR(INDEX(registro!$A:$A, MATCH($A151, registro!G:G, 0))," ")</f>
        <v xml:space="preserve"> </v>
      </c>
      <c r="G151" t="str">
        <f>IFERROR(INDEX(registro!$A:$A, MATCH($A151, registro!H:H, 0))," ")</f>
        <v xml:space="preserve"> </v>
      </c>
    </row>
    <row r="152" spans="1:7" x14ac:dyDescent="0.25">
      <c r="A152" s="3">
        <v>46380</v>
      </c>
      <c r="B152" t="str">
        <f>IFERROR(INDEX(registro!$A:$A, MATCH($A152, registro!C:C, 0))," ")</f>
        <v xml:space="preserve"> </v>
      </c>
      <c r="C152" t="str">
        <f>IFERROR(INDEX(registro!$A:$A, MATCH($A152, registro!D:D, 0))," ")</f>
        <v xml:space="preserve"> </v>
      </c>
      <c r="D152" t="str">
        <f>IFERROR(INDEX(registro!$A:$A, MATCH($A152, registro!E:E, 0))," ")</f>
        <v xml:space="preserve"> </v>
      </c>
      <c r="E152" t="str">
        <f>IFERROR(INDEX(registro!$A:$A, MATCH($A152, registro!F:F, 0))," ")</f>
        <v xml:space="preserve"> </v>
      </c>
      <c r="F152" t="str">
        <f>IFERROR(INDEX(registro!$A:$A, MATCH($A152, registro!G:G, 0))," ")</f>
        <v xml:space="preserve"> </v>
      </c>
      <c r="G152" t="str">
        <f>IFERROR(INDEX(registro!$A:$A, MATCH($A152, registro!H:H, 0))," ")</f>
        <v xml:space="preserve"> </v>
      </c>
    </row>
    <row r="153" spans="1:7" x14ac:dyDescent="0.25">
      <c r="A153" s="3">
        <v>46381</v>
      </c>
      <c r="B153" t="str">
        <f>IFERROR(INDEX(registro!$A:$A, MATCH($A153, registro!C:C, 0))," ")</f>
        <v xml:space="preserve"> </v>
      </c>
      <c r="C153" t="str">
        <f>IFERROR(INDEX(registro!$A:$A, MATCH($A153, registro!D:D, 0))," ")</f>
        <v xml:space="preserve"> </v>
      </c>
      <c r="D153" t="str">
        <f>IFERROR(INDEX(registro!$A:$A, MATCH($A153, registro!E:E, 0))," ")</f>
        <v xml:space="preserve"> </v>
      </c>
      <c r="E153" t="str">
        <f>IFERROR(INDEX(registro!$A:$A, MATCH($A153, registro!F:F, 0))," ")</f>
        <v xml:space="preserve"> </v>
      </c>
      <c r="F153" t="str">
        <f>IFERROR(INDEX(registro!$A:$A, MATCH($A153, registro!G:G, 0))," ")</f>
        <v xml:space="preserve"> </v>
      </c>
      <c r="G153" t="str">
        <f>IFERROR(INDEX(registro!$A:$A, MATCH($A153, registro!H:H, 0))," ")</f>
        <v xml:space="preserve"> </v>
      </c>
    </row>
    <row r="154" spans="1:7" x14ac:dyDescent="0.25">
      <c r="A154" s="3">
        <v>46382</v>
      </c>
      <c r="B154" t="str">
        <f>IFERROR(INDEX(registro!$A:$A, MATCH($A154, registro!C:C, 0))," ")</f>
        <v xml:space="preserve"> </v>
      </c>
      <c r="C154" t="str">
        <f>IFERROR(INDEX(registro!$A:$A, MATCH($A154, registro!D:D, 0))," ")</f>
        <v xml:space="preserve"> </v>
      </c>
      <c r="D154" t="str">
        <f>IFERROR(INDEX(registro!$A:$A, MATCH($A154, registro!E:E, 0))," ")</f>
        <v xml:space="preserve"> </v>
      </c>
      <c r="E154" t="str">
        <f>IFERROR(INDEX(registro!$A:$A, MATCH($A154, registro!F:F, 0))," ")</f>
        <v xml:space="preserve"> </v>
      </c>
      <c r="F154" t="str">
        <f>IFERROR(INDEX(registro!$A:$A, MATCH($A154, registro!G:G, 0))," ")</f>
        <v xml:space="preserve"> </v>
      </c>
      <c r="G154" t="str">
        <f>IFERROR(INDEX(registro!$A:$A, MATCH($A154, registro!H:H, 0))," ")</f>
        <v xml:space="preserve"> </v>
      </c>
    </row>
    <row r="155" spans="1:7" x14ac:dyDescent="0.25">
      <c r="A155" s="3">
        <v>46383</v>
      </c>
      <c r="B155" t="str">
        <f>IFERROR(INDEX(registro!$A:$A, MATCH($A155, registro!C:C, 0))," ")</f>
        <v xml:space="preserve"> </v>
      </c>
      <c r="C155" t="str">
        <f>IFERROR(INDEX(registro!$A:$A, MATCH($A155, registro!D:D, 0))," ")</f>
        <v xml:space="preserve"> </v>
      </c>
      <c r="D155" t="str">
        <f>IFERROR(INDEX(registro!$A:$A, MATCH($A155, registro!E:E, 0))," ")</f>
        <v xml:space="preserve"> </v>
      </c>
      <c r="E155" t="str">
        <f>IFERROR(INDEX(registro!$A:$A, MATCH($A155, registro!F:F, 0))," ")</f>
        <v xml:space="preserve"> </v>
      </c>
      <c r="F155" t="str">
        <f>IFERROR(INDEX(registro!$A:$A, MATCH($A155, registro!G:G, 0))," ")</f>
        <v xml:space="preserve"> </v>
      </c>
      <c r="G155" t="str">
        <f>IFERROR(INDEX(registro!$A:$A, MATCH($A155, registro!H:H, 0))," ")</f>
        <v xml:space="preserve"> </v>
      </c>
    </row>
    <row r="156" spans="1:7" x14ac:dyDescent="0.25">
      <c r="A156" s="3">
        <v>46384</v>
      </c>
      <c r="B156" t="str">
        <f>IFERROR(INDEX(registro!$A:$A, MATCH($A156, registro!C:C, 0))," ")</f>
        <v xml:space="preserve"> </v>
      </c>
      <c r="C156" t="str">
        <f>IFERROR(INDEX(registro!$A:$A, MATCH($A156, registro!D:D, 0))," ")</f>
        <v xml:space="preserve"> </v>
      </c>
      <c r="D156" t="str">
        <f>IFERROR(INDEX(registro!$A:$A, MATCH($A156, registro!E:E, 0))," ")</f>
        <v xml:space="preserve"> </v>
      </c>
      <c r="E156" t="str">
        <f>IFERROR(INDEX(registro!$A:$A, MATCH($A156, registro!F:F, 0))," ")</f>
        <v xml:space="preserve"> </v>
      </c>
      <c r="F156" t="str">
        <f>IFERROR(INDEX(registro!$A:$A, MATCH($A156, registro!G:G, 0))," ")</f>
        <v xml:space="preserve"> </v>
      </c>
      <c r="G156" t="str">
        <f>IFERROR(INDEX(registro!$A:$A, MATCH($A156, registro!H:H, 0))," ")</f>
        <v xml:space="preserve"> </v>
      </c>
    </row>
    <row r="157" spans="1:7" x14ac:dyDescent="0.25">
      <c r="A157" s="3">
        <v>46385</v>
      </c>
      <c r="B157" t="str">
        <f>IFERROR(INDEX(registro!$A:$A, MATCH($A157, registro!C:C, 0))," ")</f>
        <v xml:space="preserve"> </v>
      </c>
      <c r="C157" t="str">
        <f>IFERROR(INDEX(registro!$A:$A, MATCH($A157, registro!D:D, 0))," ")</f>
        <v xml:space="preserve"> </v>
      </c>
      <c r="D157" t="str">
        <f>IFERROR(INDEX(registro!$A:$A, MATCH($A157, registro!E:E, 0))," ")</f>
        <v xml:space="preserve"> </v>
      </c>
      <c r="E157" t="str">
        <f>IFERROR(INDEX(registro!$A:$A, MATCH($A157, registro!F:F, 0))," ")</f>
        <v xml:space="preserve"> </v>
      </c>
      <c r="F157" t="str">
        <f>IFERROR(INDEX(registro!$A:$A, MATCH($A157, registro!G:G, 0))," ")</f>
        <v xml:space="preserve"> </v>
      </c>
      <c r="G157" t="str">
        <f>IFERROR(INDEX(registro!$A:$A, MATCH($A157, registro!H:H, 0))," ")</f>
        <v xml:space="preserve"> </v>
      </c>
    </row>
    <row r="158" spans="1:7" x14ac:dyDescent="0.25">
      <c r="A158" s="3">
        <v>46386</v>
      </c>
      <c r="B158" t="str">
        <f>IFERROR(INDEX(registro!$A:$A, MATCH($A158, registro!C:C, 0))," ")</f>
        <v xml:space="preserve"> </v>
      </c>
      <c r="C158" t="str">
        <f>IFERROR(INDEX(registro!$A:$A, MATCH($A158, registro!D:D, 0))," ")</f>
        <v xml:space="preserve"> </v>
      </c>
      <c r="D158" t="str">
        <f>IFERROR(INDEX(registro!$A:$A, MATCH($A158, registro!E:E, 0))," ")</f>
        <v xml:space="preserve"> </v>
      </c>
      <c r="E158" t="str">
        <f>IFERROR(INDEX(registro!$A:$A, MATCH($A158, registro!F:F, 0))," ")</f>
        <v xml:space="preserve"> </v>
      </c>
      <c r="F158" t="str">
        <f>IFERROR(INDEX(registro!$A:$A, MATCH($A158, registro!G:G, 0))," ")</f>
        <v xml:space="preserve"> </v>
      </c>
      <c r="G158" t="str">
        <f>IFERROR(INDEX(registro!$A:$A, MATCH($A158, registro!H:H, 0))," ")</f>
        <v xml:space="preserve"> </v>
      </c>
    </row>
    <row r="159" spans="1:7" x14ac:dyDescent="0.25">
      <c r="A159" s="3">
        <v>46387</v>
      </c>
      <c r="B159" t="str">
        <f>IFERROR(INDEX(registro!$A:$A, MATCH($A159, registro!C:C, 0))," ")</f>
        <v xml:space="preserve"> </v>
      </c>
      <c r="C159" t="str">
        <f>IFERROR(INDEX(registro!$A:$A, MATCH($A159, registro!D:D, 0))," ")</f>
        <v xml:space="preserve"> </v>
      </c>
      <c r="D159" t="str">
        <f>IFERROR(INDEX(registro!$A:$A, MATCH($A159, registro!E:E, 0))," ")</f>
        <v xml:space="preserve"> </v>
      </c>
      <c r="E159" t="str">
        <f>IFERROR(INDEX(registro!$A:$A, MATCH($A159, registro!F:F, 0))," ")</f>
        <v xml:space="preserve"> </v>
      </c>
      <c r="F159" t="str">
        <f>IFERROR(INDEX(registro!$A:$A, MATCH($A159, registro!G:G, 0))," ")</f>
        <v xml:space="preserve"> </v>
      </c>
      <c r="G159" t="str">
        <f>IFERROR(INDEX(registro!$A:$A, MATCH($A159, registro!H:H, 0))," ")</f>
        <v xml:space="preserve"> </v>
      </c>
    </row>
    <row r="160" spans="1:7" x14ac:dyDescent="0.25">
      <c r="A160" s="3">
        <v>46388</v>
      </c>
      <c r="B160" t="str">
        <f>IFERROR(INDEX(registro!$A:$A, MATCH($A160, registro!C:C, 0))," ")</f>
        <v xml:space="preserve"> </v>
      </c>
      <c r="C160" t="str">
        <f>IFERROR(INDEX(registro!$A:$A, MATCH($A160, registro!D:D, 0))," ")</f>
        <v xml:space="preserve"> </v>
      </c>
      <c r="D160" t="str">
        <f>IFERROR(INDEX(registro!$A:$A, MATCH($A160, registro!E:E, 0))," ")</f>
        <v xml:space="preserve"> </v>
      </c>
      <c r="E160" t="str">
        <f>IFERROR(INDEX(registro!$A:$A, MATCH($A160, registro!F:F, 0))," ")</f>
        <v xml:space="preserve"> </v>
      </c>
      <c r="F160" t="str">
        <f>IFERROR(INDEX(registro!$A:$A, MATCH($A160, registro!G:G, 0))," ")</f>
        <v xml:space="preserve"> </v>
      </c>
      <c r="G160" t="str">
        <f>IFERROR(INDEX(registro!$A:$A, MATCH($A160, registro!H:H, 0))," ")</f>
        <v xml:space="preserve"> </v>
      </c>
    </row>
    <row r="161" spans="1:7" x14ac:dyDescent="0.25">
      <c r="A161" s="3">
        <v>46389</v>
      </c>
      <c r="B161" t="str">
        <f>IFERROR(INDEX(registro!$A:$A, MATCH($A161, registro!C:C, 0))," ")</f>
        <v xml:space="preserve"> </v>
      </c>
      <c r="C161" t="str">
        <f>IFERROR(INDEX(registro!$A:$A, MATCH($A161, registro!D:D, 0))," ")</f>
        <v xml:space="preserve"> </v>
      </c>
      <c r="D161" t="str">
        <f>IFERROR(INDEX(registro!$A:$A, MATCH($A161, registro!E:E, 0))," ")</f>
        <v xml:space="preserve"> </v>
      </c>
      <c r="E161" t="str">
        <f>IFERROR(INDEX(registro!$A:$A, MATCH($A161, registro!F:F, 0))," ")</f>
        <v xml:space="preserve"> </v>
      </c>
      <c r="F161" t="str">
        <f>IFERROR(INDEX(registro!$A:$A, MATCH($A161, registro!G:G, 0))," ")</f>
        <v xml:space="preserve"> </v>
      </c>
      <c r="G161" t="str">
        <f>IFERROR(INDEX(registro!$A:$A, MATCH($A161, registro!H:H, 0))," ")</f>
        <v xml:space="preserve"> </v>
      </c>
    </row>
    <row r="162" spans="1:7" x14ac:dyDescent="0.25">
      <c r="A162" s="3">
        <v>46390</v>
      </c>
      <c r="B162" t="str">
        <f>IFERROR(INDEX(registro!$A:$A, MATCH($A162, registro!C:C, 0))," ")</f>
        <v xml:space="preserve"> </v>
      </c>
      <c r="C162" t="str">
        <f>IFERROR(INDEX(registro!$A:$A, MATCH($A162, registro!D:D, 0))," ")</f>
        <v xml:space="preserve"> </v>
      </c>
      <c r="D162" t="str">
        <f>IFERROR(INDEX(registro!$A:$A, MATCH($A162, registro!E:E, 0))," ")</f>
        <v xml:space="preserve"> </v>
      </c>
      <c r="E162" t="str">
        <f>IFERROR(INDEX(registro!$A:$A, MATCH($A162, registro!F:F, 0))," ")</f>
        <v xml:space="preserve"> </v>
      </c>
      <c r="F162" t="str">
        <f>IFERROR(INDEX(registro!$A:$A, MATCH($A162, registro!G:G, 0))," ")</f>
        <v xml:space="preserve"> </v>
      </c>
      <c r="G162" t="str">
        <f>IFERROR(INDEX(registro!$A:$A, MATCH($A162, registro!H:H, 0))," ")</f>
        <v xml:space="preserve"> </v>
      </c>
    </row>
    <row r="163" spans="1:7" x14ac:dyDescent="0.25">
      <c r="A163" s="3">
        <v>46391</v>
      </c>
      <c r="B163" t="str">
        <f>IFERROR(INDEX(registro!$A:$A, MATCH($A163, registro!C:C, 0))," ")</f>
        <v xml:space="preserve"> </v>
      </c>
      <c r="C163" t="str">
        <f>IFERROR(INDEX(registro!$A:$A, MATCH($A163, registro!D:D, 0))," ")</f>
        <v xml:space="preserve"> </v>
      </c>
      <c r="D163" t="str">
        <f>IFERROR(INDEX(registro!$A:$A, MATCH($A163, registro!E:E, 0))," ")</f>
        <v xml:space="preserve"> </v>
      </c>
      <c r="E163" t="str">
        <f>IFERROR(INDEX(registro!$A:$A, MATCH($A163, registro!F:F, 0))," ")</f>
        <v xml:space="preserve"> </v>
      </c>
      <c r="F163" t="str">
        <f>IFERROR(INDEX(registro!$A:$A, MATCH($A163, registro!G:G, 0))," ")</f>
        <v xml:space="preserve"> </v>
      </c>
      <c r="G163" t="str">
        <f>IFERROR(INDEX(registro!$A:$A, MATCH($A163, registro!H:H, 0))," ")</f>
        <v xml:space="preserve"> </v>
      </c>
    </row>
    <row r="164" spans="1:7" x14ac:dyDescent="0.25">
      <c r="A164" s="3">
        <v>46392</v>
      </c>
      <c r="B164" t="str">
        <f>IFERROR(INDEX(registro!$A:$A, MATCH($A164, registro!C:C, 0))," ")</f>
        <v xml:space="preserve"> </v>
      </c>
      <c r="C164" t="str">
        <f>IFERROR(INDEX(registro!$A:$A, MATCH($A164, registro!D:D, 0))," ")</f>
        <v xml:space="preserve"> </v>
      </c>
      <c r="D164" t="str">
        <f>IFERROR(INDEX(registro!$A:$A, MATCH($A164, registro!E:E, 0))," ")</f>
        <v xml:space="preserve"> </v>
      </c>
      <c r="E164" t="str">
        <f>IFERROR(INDEX(registro!$A:$A, MATCH($A164, registro!F:F, 0))," ")</f>
        <v xml:space="preserve"> </v>
      </c>
      <c r="F164" t="str">
        <f>IFERROR(INDEX(registro!$A:$A, MATCH($A164, registro!G:G, 0))," ")</f>
        <v xml:space="preserve"> </v>
      </c>
      <c r="G164" t="str">
        <f>IFERROR(INDEX(registro!$A:$A, MATCH($A164, registro!H:H, 0))," ")</f>
        <v xml:space="preserve"> </v>
      </c>
    </row>
    <row r="165" spans="1:7" x14ac:dyDescent="0.25">
      <c r="A165" s="3">
        <v>46393</v>
      </c>
      <c r="B165" t="str">
        <f>IFERROR(INDEX(registro!$A:$A, MATCH($A165, registro!C:C, 0))," ")</f>
        <v xml:space="preserve"> </v>
      </c>
      <c r="C165" t="str">
        <f>IFERROR(INDEX(registro!$A:$A, MATCH($A165, registro!D:D, 0))," ")</f>
        <v xml:space="preserve"> </v>
      </c>
      <c r="D165" t="str">
        <f>IFERROR(INDEX(registro!$A:$A, MATCH($A165, registro!E:E, 0))," ")</f>
        <v xml:space="preserve"> </v>
      </c>
      <c r="E165" t="str">
        <f>IFERROR(INDEX(registro!$A:$A, MATCH($A165, registro!F:F, 0))," ")</f>
        <v xml:space="preserve"> </v>
      </c>
      <c r="F165" t="str">
        <f>IFERROR(INDEX(registro!$A:$A, MATCH($A165, registro!G:G, 0))," ")</f>
        <v xml:space="preserve"> </v>
      </c>
      <c r="G165" t="str">
        <f>IFERROR(INDEX(registro!$A:$A, MATCH($A165, registro!H:H, 0))," ")</f>
        <v xml:space="preserve"> </v>
      </c>
    </row>
    <row r="166" spans="1:7" x14ac:dyDescent="0.25">
      <c r="A166" s="3">
        <v>46394</v>
      </c>
      <c r="B166" t="str">
        <f>IFERROR(INDEX(registro!$A:$A, MATCH($A166, registro!C:C, 0))," ")</f>
        <v xml:space="preserve"> </v>
      </c>
      <c r="C166" t="str">
        <f>IFERROR(INDEX(registro!$A:$A, MATCH($A166, registro!D:D, 0))," ")</f>
        <v xml:space="preserve"> </v>
      </c>
      <c r="D166" t="str">
        <f>IFERROR(INDEX(registro!$A:$A, MATCH($A166, registro!E:E, 0))," ")</f>
        <v xml:space="preserve"> </v>
      </c>
      <c r="E166" t="str">
        <f>IFERROR(INDEX(registro!$A:$A, MATCH($A166, registro!F:F, 0))," ")</f>
        <v xml:space="preserve"> </v>
      </c>
      <c r="F166" t="str">
        <f>IFERROR(INDEX(registro!$A:$A, MATCH($A166, registro!G:G, 0))," ")</f>
        <v xml:space="preserve"> </v>
      </c>
      <c r="G166" t="str">
        <f>IFERROR(INDEX(registro!$A:$A, MATCH($A166, registro!H:H, 0))," ")</f>
        <v xml:space="preserve"> </v>
      </c>
    </row>
    <row r="167" spans="1:7" x14ac:dyDescent="0.25">
      <c r="A167" s="3">
        <v>46395</v>
      </c>
      <c r="B167" t="str">
        <f>IFERROR(INDEX(registro!$A:$A, MATCH($A167, registro!C:C, 0))," ")</f>
        <v xml:space="preserve"> </v>
      </c>
      <c r="C167" t="str">
        <f>IFERROR(INDEX(registro!$A:$A, MATCH($A167, registro!D:D, 0))," ")</f>
        <v xml:space="preserve"> </v>
      </c>
      <c r="D167" t="str">
        <f>IFERROR(INDEX(registro!$A:$A, MATCH($A167, registro!E:E, 0))," ")</f>
        <v xml:space="preserve"> </v>
      </c>
      <c r="E167" t="str">
        <f>IFERROR(INDEX(registro!$A:$A, MATCH($A167, registro!F:F, 0))," ")</f>
        <v xml:space="preserve"> </v>
      </c>
      <c r="F167" t="str">
        <f>IFERROR(INDEX(registro!$A:$A, MATCH($A167, registro!G:G, 0))," ")</f>
        <v xml:space="preserve"> </v>
      </c>
      <c r="G167" t="str">
        <f>IFERROR(INDEX(registro!$A:$A, MATCH($A167, registro!H:H, 0))," ")</f>
        <v xml:space="preserve"> </v>
      </c>
    </row>
    <row r="168" spans="1:7" x14ac:dyDescent="0.25">
      <c r="A168" s="3">
        <v>46396</v>
      </c>
      <c r="B168" t="str">
        <f>IFERROR(INDEX(registro!$A:$A, MATCH($A168, registro!C:C, 0))," ")</f>
        <v xml:space="preserve"> </v>
      </c>
      <c r="C168" t="str">
        <f>IFERROR(INDEX(registro!$A:$A, MATCH($A168, registro!D:D, 0))," ")</f>
        <v xml:space="preserve"> </v>
      </c>
      <c r="D168" t="str">
        <f>IFERROR(INDEX(registro!$A:$A, MATCH($A168, registro!E:E, 0))," ")</f>
        <v xml:space="preserve"> </v>
      </c>
      <c r="E168" t="str">
        <f>IFERROR(INDEX(registro!$A:$A, MATCH($A168, registro!F:F, 0))," ")</f>
        <v xml:space="preserve"> </v>
      </c>
      <c r="F168" t="str">
        <f>IFERROR(INDEX(registro!$A:$A, MATCH($A168, registro!G:G, 0))," ")</f>
        <v xml:space="preserve"> </v>
      </c>
      <c r="G168" t="str">
        <f>IFERROR(INDEX(registro!$A:$A, MATCH($A168, registro!H:H, 0))," ")</f>
        <v xml:space="preserve"> </v>
      </c>
    </row>
    <row r="169" spans="1:7" x14ac:dyDescent="0.25">
      <c r="A169" s="3">
        <v>46397</v>
      </c>
      <c r="B169" t="str">
        <f>IFERROR(INDEX(registro!$A:$A, MATCH($A169, registro!C:C, 0))," ")</f>
        <v xml:space="preserve"> </v>
      </c>
      <c r="C169" t="str">
        <f>IFERROR(INDEX(registro!$A:$A, MATCH($A169, registro!D:D, 0))," ")</f>
        <v xml:space="preserve"> </v>
      </c>
      <c r="D169" t="str">
        <f>IFERROR(INDEX(registro!$A:$A, MATCH($A169, registro!E:E, 0))," ")</f>
        <v xml:space="preserve"> </v>
      </c>
      <c r="E169" t="str">
        <f>IFERROR(INDEX(registro!$A:$A, MATCH($A169, registro!F:F, 0))," ")</f>
        <v xml:space="preserve"> </v>
      </c>
      <c r="F169" t="str">
        <f>IFERROR(INDEX(registro!$A:$A, MATCH($A169, registro!G:G, 0))," ")</f>
        <v xml:space="preserve"> </v>
      </c>
      <c r="G169" t="str">
        <f>IFERROR(INDEX(registro!$A:$A, MATCH($A169, registro!H:H, 0))," ")</f>
        <v xml:space="preserve"> </v>
      </c>
    </row>
    <row r="170" spans="1:7" x14ac:dyDescent="0.25">
      <c r="A170" s="3">
        <v>46398</v>
      </c>
      <c r="B170" t="str">
        <f>IFERROR(INDEX(registro!$A:$A, MATCH($A170, registro!C:C, 0))," ")</f>
        <v xml:space="preserve"> </v>
      </c>
      <c r="C170" t="str">
        <f>IFERROR(INDEX(registro!$A:$A, MATCH($A170, registro!D:D, 0))," ")</f>
        <v xml:space="preserve"> </v>
      </c>
      <c r="D170" t="str">
        <f>IFERROR(INDEX(registro!$A:$A, MATCH($A170, registro!E:E, 0))," ")</f>
        <v xml:space="preserve"> </v>
      </c>
      <c r="E170" t="str">
        <f>IFERROR(INDEX(registro!$A:$A, MATCH($A170, registro!F:F, 0))," ")</f>
        <v xml:space="preserve"> </v>
      </c>
      <c r="F170" t="str">
        <f>IFERROR(INDEX(registro!$A:$A, MATCH($A170, registro!G:G, 0))," ")</f>
        <v xml:space="preserve"> </v>
      </c>
      <c r="G170" t="str">
        <f>IFERROR(INDEX(registro!$A:$A, MATCH($A170, registro!H:H, 0))," ")</f>
        <v xml:space="preserve"> </v>
      </c>
    </row>
    <row r="171" spans="1:7" x14ac:dyDescent="0.25">
      <c r="A171" s="3">
        <v>46399</v>
      </c>
      <c r="B171" t="str">
        <f>IFERROR(INDEX(registro!$A:$A, MATCH($A171, registro!C:C, 0))," ")</f>
        <v xml:space="preserve"> </v>
      </c>
      <c r="C171" t="str">
        <f>IFERROR(INDEX(registro!$A:$A, MATCH($A171, registro!D:D, 0))," ")</f>
        <v xml:space="preserve"> </v>
      </c>
      <c r="D171" t="str">
        <f>IFERROR(INDEX(registro!$A:$A, MATCH($A171, registro!E:E, 0))," ")</f>
        <v xml:space="preserve"> </v>
      </c>
      <c r="E171" t="str">
        <f>IFERROR(INDEX(registro!$A:$A, MATCH($A171, registro!F:F, 0))," ")</f>
        <v xml:space="preserve"> </v>
      </c>
      <c r="F171" t="str">
        <f>IFERROR(INDEX(registro!$A:$A, MATCH($A171, registro!G:G, 0))," ")</f>
        <v xml:space="preserve"> </v>
      </c>
      <c r="G171" t="str">
        <f>IFERROR(INDEX(registro!$A:$A, MATCH($A171, registro!H:H, 0))," ")</f>
        <v xml:space="preserve"> </v>
      </c>
    </row>
    <row r="172" spans="1:7" x14ac:dyDescent="0.25">
      <c r="A172" s="3">
        <v>46400</v>
      </c>
      <c r="B172" t="str">
        <f>IFERROR(INDEX(registro!$A:$A, MATCH($A172, registro!C:C, 0))," ")</f>
        <v xml:space="preserve"> </v>
      </c>
      <c r="C172" t="str">
        <f>IFERROR(INDEX(registro!$A:$A, MATCH($A172, registro!D:D, 0))," ")</f>
        <v xml:space="preserve"> </v>
      </c>
      <c r="D172" t="str">
        <f>IFERROR(INDEX(registro!$A:$A, MATCH($A172, registro!E:E, 0))," ")</f>
        <v xml:space="preserve"> </v>
      </c>
      <c r="E172" t="str">
        <f>IFERROR(INDEX(registro!$A:$A, MATCH($A172, registro!F:F, 0))," ")</f>
        <v xml:space="preserve"> </v>
      </c>
      <c r="F172" t="str">
        <f>IFERROR(INDEX(registro!$A:$A, MATCH($A172, registro!G:G, 0))," ")</f>
        <v xml:space="preserve"> </v>
      </c>
      <c r="G172" t="str">
        <f>IFERROR(INDEX(registro!$A:$A, MATCH($A172, registro!H:H, 0))," ")</f>
        <v xml:space="preserve"> </v>
      </c>
    </row>
    <row r="173" spans="1:7" x14ac:dyDescent="0.25">
      <c r="A173" s="3">
        <v>46401</v>
      </c>
      <c r="B173" t="str">
        <f>IFERROR(INDEX(registro!$A:$A, MATCH($A173, registro!C:C, 0))," ")</f>
        <v xml:space="preserve"> </v>
      </c>
      <c r="C173" t="str">
        <f>IFERROR(INDEX(registro!$A:$A, MATCH($A173, registro!D:D, 0))," ")</f>
        <v xml:space="preserve"> </v>
      </c>
      <c r="D173" t="str">
        <f>IFERROR(INDEX(registro!$A:$A, MATCH($A173, registro!E:E, 0))," ")</f>
        <v xml:space="preserve"> </v>
      </c>
      <c r="E173" t="str">
        <f>IFERROR(INDEX(registro!$A:$A, MATCH($A173, registro!F:F, 0))," ")</f>
        <v xml:space="preserve"> </v>
      </c>
      <c r="F173" t="str">
        <f>IFERROR(INDEX(registro!$A:$A, MATCH($A173, registro!G:G, 0))," ")</f>
        <v xml:space="preserve"> </v>
      </c>
      <c r="G173" t="str">
        <f>IFERROR(INDEX(registro!$A:$A, MATCH($A173, registro!H:H, 0))," ")</f>
        <v xml:space="preserve"> </v>
      </c>
    </row>
    <row r="174" spans="1:7" x14ac:dyDescent="0.25">
      <c r="A174" s="3">
        <v>46402</v>
      </c>
      <c r="B174" t="str">
        <f>IFERROR(INDEX(registro!$A:$A, MATCH($A174, registro!C:C, 0))," ")</f>
        <v xml:space="preserve"> </v>
      </c>
      <c r="C174" t="str">
        <f>IFERROR(INDEX(registro!$A:$A, MATCH($A174, registro!D:D, 0))," ")</f>
        <v xml:space="preserve"> </v>
      </c>
      <c r="D174" t="str">
        <f>IFERROR(INDEX(registro!$A:$A, MATCH($A174, registro!E:E, 0))," ")</f>
        <v xml:space="preserve"> </v>
      </c>
      <c r="E174" t="str">
        <f>IFERROR(INDEX(registro!$A:$A, MATCH($A174, registro!F:F, 0))," ")</f>
        <v xml:space="preserve"> </v>
      </c>
      <c r="F174" t="str">
        <f>IFERROR(INDEX(registro!$A:$A, MATCH($A174, registro!G:G, 0))," ")</f>
        <v xml:space="preserve"> </v>
      </c>
      <c r="G174" t="str">
        <f>IFERROR(INDEX(registro!$A:$A, MATCH($A174, registro!H:H, 0))," ")</f>
        <v xml:space="preserve"> </v>
      </c>
    </row>
    <row r="175" spans="1:7" x14ac:dyDescent="0.25">
      <c r="A175" s="3">
        <v>46403</v>
      </c>
      <c r="B175" t="str">
        <f>IFERROR(INDEX(registro!$A:$A, MATCH($A175, registro!C:C, 0))," ")</f>
        <v xml:space="preserve"> </v>
      </c>
      <c r="C175" t="str">
        <f>IFERROR(INDEX(registro!$A:$A, MATCH($A175, registro!D:D, 0))," ")</f>
        <v xml:space="preserve"> </v>
      </c>
      <c r="D175" t="str">
        <f>IFERROR(INDEX(registro!$A:$A, MATCH($A175, registro!E:E, 0))," ")</f>
        <v xml:space="preserve"> </v>
      </c>
      <c r="E175" t="str">
        <f>IFERROR(INDEX(registro!$A:$A, MATCH($A175, registro!F:F, 0))," ")</f>
        <v xml:space="preserve"> </v>
      </c>
      <c r="F175" t="str">
        <f>IFERROR(INDEX(registro!$A:$A, MATCH($A175, registro!G:G, 0))," ")</f>
        <v xml:space="preserve"> </v>
      </c>
      <c r="G175" t="str">
        <f>IFERROR(INDEX(registro!$A:$A, MATCH($A175, registro!H:H, 0))," ")</f>
        <v xml:space="preserve"> </v>
      </c>
    </row>
    <row r="176" spans="1:7" x14ac:dyDescent="0.25">
      <c r="A176" s="3">
        <v>46404</v>
      </c>
      <c r="B176" t="str">
        <f>IFERROR(INDEX(registro!$A:$A, MATCH($A176, registro!C:C, 0))," ")</f>
        <v xml:space="preserve"> </v>
      </c>
      <c r="C176" t="str">
        <f>IFERROR(INDEX(registro!$A:$A, MATCH($A176, registro!D:D, 0))," ")</f>
        <v xml:space="preserve"> </v>
      </c>
      <c r="D176" t="str">
        <f>IFERROR(INDEX(registro!$A:$A, MATCH($A176, registro!E:E, 0))," ")</f>
        <v xml:space="preserve"> </v>
      </c>
      <c r="E176" t="str">
        <f>IFERROR(INDEX(registro!$A:$A, MATCH($A176, registro!F:F, 0))," ")</f>
        <v xml:space="preserve"> </v>
      </c>
      <c r="F176" t="str">
        <f>IFERROR(INDEX(registro!$A:$A, MATCH($A176, registro!G:G, 0))," ")</f>
        <v xml:space="preserve"> </v>
      </c>
      <c r="G176" t="str">
        <f>IFERROR(INDEX(registro!$A:$A, MATCH($A176, registro!H:H, 0))," ")</f>
        <v xml:space="preserve"> </v>
      </c>
    </row>
    <row r="177" spans="1:7" x14ac:dyDescent="0.25">
      <c r="A177" s="3">
        <v>46405</v>
      </c>
      <c r="B177" t="str">
        <f>IFERROR(INDEX(registro!$A:$A, MATCH($A177, registro!C:C, 0))," ")</f>
        <v xml:space="preserve"> </v>
      </c>
      <c r="C177" t="str">
        <f>IFERROR(INDEX(registro!$A:$A, MATCH($A177, registro!D:D, 0))," ")</f>
        <v xml:space="preserve"> </v>
      </c>
      <c r="D177" t="str">
        <f>IFERROR(INDEX(registro!$A:$A, MATCH($A177, registro!E:E, 0))," ")</f>
        <v xml:space="preserve"> </v>
      </c>
      <c r="E177" t="str">
        <f>IFERROR(INDEX(registro!$A:$A, MATCH($A177, registro!F:F, 0))," ")</f>
        <v xml:space="preserve"> </v>
      </c>
      <c r="F177" t="str">
        <f>IFERROR(INDEX(registro!$A:$A, MATCH($A177, registro!G:G, 0))," ")</f>
        <v xml:space="preserve"> </v>
      </c>
      <c r="G177" t="str">
        <f>IFERROR(INDEX(registro!$A:$A, MATCH($A177, registro!H:H, 0))," ")</f>
        <v xml:space="preserve"> </v>
      </c>
    </row>
    <row r="178" spans="1:7" x14ac:dyDescent="0.25">
      <c r="A178" s="3">
        <v>46406</v>
      </c>
      <c r="B178" t="str">
        <f>IFERROR(INDEX(registro!$A:$A, MATCH($A178, registro!C:C, 0))," ")</f>
        <v xml:space="preserve"> </v>
      </c>
      <c r="C178" t="str">
        <f>IFERROR(INDEX(registro!$A:$A, MATCH($A178, registro!D:D, 0))," ")</f>
        <v xml:space="preserve"> </v>
      </c>
      <c r="D178" t="str">
        <f>IFERROR(INDEX(registro!$A:$A, MATCH($A178, registro!E:E, 0))," ")</f>
        <v xml:space="preserve"> </v>
      </c>
      <c r="E178" t="str">
        <f>IFERROR(INDEX(registro!$A:$A, MATCH($A178, registro!F:F, 0))," ")</f>
        <v xml:space="preserve"> </v>
      </c>
      <c r="F178" t="str">
        <f>IFERROR(INDEX(registro!$A:$A, MATCH($A178, registro!G:G, 0))," ")</f>
        <v xml:space="preserve"> </v>
      </c>
      <c r="G178" t="str">
        <f>IFERROR(INDEX(registro!$A:$A, MATCH($A178, registro!H:H, 0))," ")</f>
        <v xml:space="preserve"> </v>
      </c>
    </row>
    <row r="179" spans="1:7" x14ac:dyDescent="0.25">
      <c r="A179" s="3">
        <v>46407</v>
      </c>
      <c r="B179" t="str">
        <f>IFERROR(INDEX(registro!$A:$A, MATCH($A179, registro!C:C, 0))," ")</f>
        <v xml:space="preserve"> </v>
      </c>
      <c r="C179" t="str">
        <f>IFERROR(INDEX(registro!$A:$A, MATCH($A179, registro!D:D, 0))," ")</f>
        <v xml:space="preserve"> </v>
      </c>
      <c r="D179" t="str">
        <f>IFERROR(INDEX(registro!$A:$A, MATCH($A179, registro!E:E, 0))," ")</f>
        <v xml:space="preserve"> </v>
      </c>
      <c r="E179" t="str">
        <f>IFERROR(INDEX(registro!$A:$A, MATCH($A179, registro!F:F, 0))," ")</f>
        <v xml:space="preserve"> </v>
      </c>
      <c r="F179" t="str">
        <f>IFERROR(INDEX(registro!$A:$A, MATCH($A179, registro!G:G, 0))," ")</f>
        <v xml:space="preserve"> </v>
      </c>
      <c r="G179" t="str">
        <f>IFERROR(INDEX(registro!$A:$A, MATCH($A179, registro!H:H, 0))," ")</f>
        <v xml:space="preserve"> </v>
      </c>
    </row>
    <row r="180" spans="1:7" x14ac:dyDescent="0.25">
      <c r="A180" s="3">
        <v>46408</v>
      </c>
      <c r="B180" t="str">
        <f>IFERROR(INDEX(registro!$A:$A, MATCH($A180, registro!C:C, 0))," ")</f>
        <v xml:space="preserve"> </v>
      </c>
      <c r="C180" t="str">
        <f>IFERROR(INDEX(registro!$A:$A, MATCH($A180, registro!D:D, 0))," ")</f>
        <v xml:space="preserve"> </v>
      </c>
      <c r="D180" t="str">
        <f>IFERROR(INDEX(registro!$A:$A, MATCH($A180, registro!E:E, 0))," ")</f>
        <v xml:space="preserve"> </v>
      </c>
      <c r="E180" t="str">
        <f>IFERROR(INDEX(registro!$A:$A, MATCH($A180, registro!F:F, 0))," ")</f>
        <v xml:space="preserve"> </v>
      </c>
      <c r="F180" t="str">
        <f>IFERROR(INDEX(registro!$A:$A, MATCH($A180, registro!G:G, 0))," ")</f>
        <v xml:space="preserve"> </v>
      </c>
      <c r="G180" t="str">
        <f>IFERROR(INDEX(registro!$A:$A, MATCH($A180, registro!H:H, 0))," ")</f>
        <v xml:space="preserve"> </v>
      </c>
    </row>
    <row r="181" spans="1:7" x14ac:dyDescent="0.25">
      <c r="A181" s="3">
        <v>46409</v>
      </c>
      <c r="B181" t="str">
        <f>IFERROR(INDEX(registro!$A:$A, MATCH($A181, registro!C:C, 0))," ")</f>
        <v xml:space="preserve"> </v>
      </c>
      <c r="C181" t="str">
        <f>IFERROR(INDEX(registro!$A:$A, MATCH($A181, registro!D:D, 0))," ")</f>
        <v xml:space="preserve"> </v>
      </c>
      <c r="D181" t="str">
        <f>IFERROR(INDEX(registro!$A:$A, MATCH($A181, registro!E:E, 0))," ")</f>
        <v xml:space="preserve"> </v>
      </c>
      <c r="E181" t="str">
        <f>IFERROR(INDEX(registro!$A:$A, MATCH($A181, registro!F:F, 0))," ")</f>
        <v xml:space="preserve"> </v>
      </c>
      <c r="F181" t="str">
        <f>IFERROR(INDEX(registro!$A:$A, MATCH($A181, registro!G:G, 0))," ")</f>
        <v xml:space="preserve"> </v>
      </c>
      <c r="G181" t="str">
        <f>IFERROR(INDEX(registro!$A:$A, MATCH($A181, registro!H:H, 0))," ")</f>
        <v xml:space="preserve"> </v>
      </c>
    </row>
    <row r="182" spans="1:7" x14ac:dyDescent="0.25">
      <c r="A182" s="3">
        <v>46410</v>
      </c>
      <c r="B182" t="str">
        <f>IFERROR(INDEX(registro!$A:$A, MATCH($A182, registro!C:C, 0))," ")</f>
        <v xml:space="preserve"> </v>
      </c>
      <c r="C182" t="str">
        <f>IFERROR(INDEX(registro!$A:$A, MATCH($A182, registro!D:D, 0))," ")</f>
        <v xml:space="preserve"> </v>
      </c>
      <c r="D182" t="str">
        <f>IFERROR(INDEX(registro!$A:$A, MATCH($A182, registro!E:E, 0))," ")</f>
        <v xml:space="preserve"> </v>
      </c>
      <c r="E182" t="str">
        <f>IFERROR(INDEX(registro!$A:$A, MATCH($A182, registro!F:F, 0))," ")</f>
        <v xml:space="preserve"> </v>
      </c>
      <c r="F182" t="str">
        <f>IFERROR(INDEX(registro!$A:$A, MATCH($A182, registro!G:G, 0))," ")</f>
        <v xml:space="preserve"> </v>
      </c>
      <c r="G182" t="str">
        <f>IFERROR(INDEX(registro!$A:$A, MATCH($A182, registro!H:H, 0))," ")</f>
        <v xml:space="preserve"> </v>
      </c>
    </row>
    <row r="183" spans="1:7" x14ac:dyDescent="0.25">
      <c r="A183" s="3">
        <v>46411</v>
      </c>
      <c r="B183" t="str">
        <f>IFERROR(INDEX(registro!$A:$A, MATCH($A183, registro!C:C, 0))," ")</f>
        <v xml:space="preserve"> </v>
      </c>
      <c r="C183" t="str">
        <f>IFERROR(INDEX(registro!$A:$A, MATCH($A183, registro!D:D, 0))," ")</f>
        <v xml:space="preserve"> </v>
      </c>
      <c r="D183" t="str">
        <f>IFERROR(INDEX(registro!$A:$A, MATCH($A183, registro!E:E, 0))," ")</f>
        <v xml:space="preserve"> </v>
      </c>
      <c r="E183" t="str">
        <f>IFERROR(INDEX(registro!$A:$A, MATCH($A183, registro!F:F, 0))," ")</f>
        <v xml:space="preserve"> </v>
      </c>
      <c r="F183" t="str">
        <f>IFERROR(INDEX(registro!$A:$A, MATCH($A183, registro!G:G, 0))," ")</f>
        <v xml:space="preserve"> </v>
      </c>
      <c r="G183" t="str">
        <f>IFERROR(INDEX(registro!$A:$A, MATCH($A183, registro!H:H, 0))," ")</f>
        <v xml:space="preserve"> </v>
      </c>
    </row>
    <row r="184" spans="1:7" x14ac:dyDescent="0.25">
      <c r="A184" s="3">
        <v>46412</v>
      </c>
      <c r="B184" t="str">
        <f>IFERROR(INDEX(registro!$A:$A, MATCH($A184, registro!C:C, 0))," ")</f>
        <v xml:space="preserve"> </v>
      </c>
      <c r="C184" t="str">
        <f>IFERROR(INDEX(registro!$A:$A, MATCH($A184, registro!D:D, 0))," ")</f>
        <v xml:space="preserve"> </v>
      </c>
      <c r="D184" t="str">
        <f>IFERROR(INDEX(registro!$A:$A, MATCH($A184, registro!E:E, 0))," ")</f>
        <v xml:space="preserve"> </v>
      </c>
      <c r="E184" t="str">
        <f>IFERROR(INDEX(registro!$A:$A, MATCH($A184, registro!F:F, 0))," ")</f>
        <v xml:space="preserve"> </v>
      </c>
      <c r="F184" t="str">
        <f>IFERROR(INDEX(registro!$A:$A, MATCH($A184, registro!G:G, 0))," ")</f>
        <v xml:space="preserve"> </v>
      </c>
      <c r="G184" t="str">
        <f>IFERROR(INDEX(registro!$A:$A, MATCH($A184, registro!H:H, 0))," ")</f>
        <v xml:space="preserve"> </v>
      </c>
    </row>
    <row r="185" spans="1:7" x14ac:dyDescent="0.25">
      <c r="A185" s="3">
        <v>46413</v>
      </c>
      <c r="B185" t="str">
        <f>IFERROR(INDEX(registro!$A:$A, MATCH($A185, registro!C:C, 0))," ")</f>
        <v xml:space="preserve"> </v>
      </c>
      <c r="C185" t="str">
        <f>IFERROR(INDEX(registro!$A:$A, MATCH($A185, registro!D:D, 0))," ")</f>
        <v xml:space="preserve"> </v>
      </c>
      <c r="D185" t="str">
        <f>IFERROR(INDEX(registro!$A:$A, MATCH($A185, registro!E:E, 0))," ")</f>
        <v xml:space="preserve"> </v>
      </c>
      <c r="E185" t="str">
        <f>IFERROR(INDEX(registro!$A:$A, MATCH($A185, registro!F:F, 0))," ")</f>
        <v xml:space="preserve"> </v>
      </c>
      <c r="F185" t="str">
        <f>IFERROR(INDEX(registro!$A:$A, MATCH($A185, registro!G:G, 0))," ")</f>
        <v xml:space="preserve"> </v>
      </c>
      <c r="G185" t="str">
        <f>IFERROR(INDEX(registro!$A:$A, MATCH($A185, registro!H:H, 0))," ")</f>
        <v xml:space="preserve"> </v>
      </c>
    </row>
    <row r="186" spans="1:7" x14ac:dyDescent="0.25">
      <c r="A186" s="3">
        <v>46414</v>
      </c>
      <c r="B186" t="str">
        <f>IFERROR(INDEX(registro!$A:$A, MATCH($A186, registro!C:C, 0))," ")</f>
        <v xml:space="preserve"> </v>
      </c>
      <c r="C186" t="str">
        <f>IFERROR(INDEX(registro!$A:$A, MATCH($A186, registro!D:D, 0))," ")</f>
        <v xml:space="preserve"> </v>
      </c>
      <c r="D186" t="str">
        <f>IFERROR(INDEX(registro!$A:$A, MATCH($A186, registro!E:E, 0))," ")</f>
        <v xml:space="preserve"> </v>
      </c>
      <c r="E186" t="str">
        <f>IFERROR(INDEX(registro!$A:$A, MATCH($A186, registro!F:F, 0))," ")</f>
        <v xml:space="preserve"> </v>
      </c>
      <c r="F186" t="str">
        <f>IFERROR(INDEX(registro!$A:$A, MATCH($A186, registro!G:G, 0))," ")</f>
        <v xml:space="preserve"> </v>
      </c>
      <c r="G186" t="str">
        <f>IFERROR(INDEX(registro!$A:$A, MATCH($A186, registro!H:H, 0))," ")</f>
        <v xml:space="preserve"> </v>
      </c>
    </row>
    <row r="187" spans="1:7" x14ac:dyDescent="0.25">
      <c r="A187" s="3">
        <v>46415</v>
      </c>
      <c r="B187" t="str">
        <f>IFERROR(INDEX(registro!$A:$A, MATCH($A187, registro!C:C, 0))," ")</f>
        <v xml:space="preserve"> </v>
      </c>
      <c r="C187" t="str">
        <f>IFERROR(INDEX(registro!$A:$A, MATCH($A187, registro!D:D, 0))," ")</f>
        <v xml:space="preserve"> </v>
      </c>
      <c r="D187" t="str">
        <f>IFERROR(INDEX(registro!$A:$A, MATCH($A187, registro!E:E, 0))," ")</f>
        <v xml:space="preserve"> </v>
      </c>
      <c r="E187" t="str">
        <f>IFERROR(INDEX(registro!$A:$A, MATCH($A187, registro!F:F, 0))," ")</f>
        <v xml:space="preserve"> </v>
      </c>
      <c r="F187" t="str">
        <f>IFERROR(INDEX(registro!$A:$A, MATCH($A187, registro!G:G, 0))," ")</f>
        <v xml:space="preserve"> </v>
      </c>
      <c r="G187" t="str">
        <f>IFERROR(INDEX(registro!$A:$A, MATCH($A187, registro!H:H, 0))," ")</f>
        <v xml:space="preserve"> </v>
      </c>
    </row>
    <row r="188" spans="1:7" x14ac:dyDescent="0.25">
      <c r="A188" s="3">
        <v>46416</v>
      </c>
      <c r="B188" t="str">
        <f>IFERROR(INDEX(registro!$A:$A, MATCH($A188, registro!C:C, 0))," ")</f>
        <v xml:space="preserve"> </v>
      </c>
      <c r="C188" t="str">
        <f>IFERROR(INDEX(registro!$A:$A, MATCH($A188, registro!D:D, 0))," ")</f>
        <v xml:space="preserve"> </v>
      </c>
      <c r="D188" t="str">
        <f>IFERROR(INDEX(registro!$A:$A, MATCH($A188, registro!E:E, 0))," ")</f>
        <v xml:space="preserve"> </v>
      </c>
      <c r="E188" t="str">
        <f>IFERROR(INDEX(registro!$A:$A, MATCH($A188, registro!F:F, 0))," ")</f>
        <v xml:space="preserve"> </v>
      </c>
      <c r="F188" t="str">
        <f>IFERROR(INDEX(registro!$A:$A, MATCH($A188, registro!G:G, 0))," ")</f>
        <v xml:space="preserve"> </v>
      </c>
      <c r="G188" t="str">
        <f>IFERROR(INDEX(registro!$A:$A, MATCH($A188, registro!H:H, 0))," ")</f>
        <v xml:space="preserve"> </v>
      </c>
    </row>
    <row r="189" spans="1:7" x14ac:dyDescent="0.25">
      <c r="A189" s="3">
        <v>46417</v>
      </c>
      <c r="B189" t="str">
        <f>IFERROR(INDEX(registro!$A:$A, MATCH($A189, registro!C:C, 0))," ")</f>
        <v xml:space="preserve"> </v>
      </c>
      <c r="C189" t="str">
        <f>IFERROR(INDEX(registro!$A:$A, MATCH($A189, registro!D:D, 0))," ")</f>
        <v xml:space="preserve"> </v>
      </c>
      <c r="D189" t="str">
        <f>IFERROR(INDEX(registro!$A:$A, MATCH($A189, registro!E:E, 0))," ")</f>
        <v xml:space="preserve"> </v>
      </c>
      <c r="E189" t="str">
        <f>IFERROR(INDEX(registro!$A:$A, MATCH($A189, registro!F:F, 0))," ")</f>
        <v xml:space="preserve"> </v>
      </c>
      <c r="F189" t="str">
        <f>IFERROR(INDEX(registro!$A:$A, MATCH($A189, registro!G:G, 0))," ")</f>
        <v xml:space="preserve"> </v>
      </c>
      <c r="G189" t="str">
        <f>IFERROR(INDEX(registro!$A:$A, MATCH($A189, registro!H:H, 0))," ")</f>
        <v xml:space="preserve"> </v>
      </c>
    </row>
    <row r="190" spans="1:7" x14ac:dyDescent="0.25">
      <c r="A190" s="3">
        <v>46418</v>
      </c>
      <c r="B190" t="str">
        <f>IFERROR(INDEX(registro!$A:$A, MATCH($A190, registro!C:C, 0))," ")</f>
        <v xml:space="preserve"> </v>
      </c>
      <c r="C190" t="str">
        <f>IFERROR(INDEX(registro!$A:$A, MATCH($A190, registro!D:D, 0))," ")</f>
        <v xml:space="preserve"> </v>
      </c>
      <c r="D190" t="str">
        <f>IFERROR(INDEX(registro!$A:$A, MATCH($A190, registro!E:E, 0))," ")</f>
        <v xml:space="preserve"> </v>
      </c>
      <c r="E190" t="str">
        <f>IFERROR(INDEX(registro!$A:$A, MATCH($A190, registro!F:F, 0))," ")</f>
        <v xml:space="preserve"> </v>
      </c>
      <c r="F190" t="str">
        <f>IFERROR(INDEX(registro!$A:$A, MATCH($A190, registro!G:G, 0))," ")</f>
        <v xml:space="preserve"> </v>
      </c>
      <c r="G190" t="str">
        <f>IFERROR(INDEX(registro!$A:$A, MATCH($A190, registro!H:H, 0))," ")</f>
        <v xml:space="preserve"> </v>
      </c>
    </row>
    <row r="191" spans="1:7" x14ac:dyDescent="0.25">
      <c r="A191" s="3">
        <v>46419</v>
      </c>
      <c r="B191" t="str">
        <f>IFERROR(INDEX(registro!$A:$A, MATCH($A191, registro!C:C, 0))," ")</f>
        <v xml:space="preserve"> </v>
      </c>
      <c r="C191" t="str">
        <f>IFERROR(INDEX(registro!$A:$A, MATCH($A191, registro!D:D, 0))," ")</f>
        <v xml:space="preserve"> </v>
      </c>
      <c r="D191" t="str">
        <f>IFERROR(INDEX(registro!$A:$A, MATCH($A191, registro!E:E, 0))," ")</f>
        <v xml:space="preserve"> </v>
      </c>
      <c r="E191" t="str">
        <f>IFERROR(INDEX(registro!$A:$A, MATCH($A191, registro!F:F, 0))," ")</f>
        <v xml:space="preserve"> </v>
      </c>
      <c r="F191" t="str">
        <f>IFERROR(INDEX(registro!$A:$A, MATCH($A191, registro!G:G, 0))," ")</f>
        <v xml:space="preserve"> </v>
      </c>
      <c r="G191" t="str">
        <f>IFERROR(INDEX(registro!$A:$A, MATCH($A191, registro!H:H, 0))," ")</f>
        <v xml:space="preserve"> </v>
      </c>
    </row>
    <row r="192" spans="1:7" x14ac:dyDescent="0.25">
      <c r="A192" s="3">
        <v>46420</v>
      </c>
      <c r="B192" t="str">
        <f>IFERROR(INDEX(registro!$A:$A, MATCH($A192, registro!C:C, 0))," ")</f>
        <v xml:space="preserve"> </v>
      </c>
      <c r="C192" t="str">
        <f>IFERROR(INDEX(registro!$A:$A, MATCH($A192, registro!D:D, 0))," ")</f>
        <v xml:space="preserve"> </v>
      </c>
      <c r="D192" t="str">
        <f>IFERROR(INDEX(registro!$A:$A, MATCH($A192, registro!E:E, 0))," ")</f>
        <v xml:space="preserve"> </v>
      </c>
      <c r="E192" t="str">
        <f>IFERROR(INDEX(registro!$A:$A, MATCH($A192, registro!F:F, 0))," ")</f>
        <v xml:space="preserve"> </v>
      </c>
      <c r="F192" t="str">
        <f>IFERROR(INDEX(registro!$A:$A, MATCH($A192, registro!G:G, 0))," ")</f>
        <v xml:space="preserve"> </v>
      </c>
      <c r="G192" t="str">
        <f>IFERROR(INDEX(registro!$A:$A, MATCH($A192, registro!H:H, 0))," ")</f>
        <v xml:space="preserve"> </v>
      </c>
    </row>
    <row r="193" spans="1:7" x14ac:dyDescent="0.25">
      <c r="A193" s="3">
        <v>46421</v>
      </c>
      <c r="B193" t="str">
        <f>IFERROR(INDEX(registro!$A:$A, MATCH($A193, registro!C:C, 0))," ")</f>
        <v xml:space="preserve"> </v>
      </c>
      <c r="C193" t="str">
        <f>IFERROR(INDEX(registro!$A:$A, MATCH($A193, registro!D:D, 0))," ")</f>
        <v xml:space="preserve"> </v>
      </c>
      <c r="D193" t="str">
        <f>IFERROR(INDEX(registro!$A:$A, MATCH($A193, registro!E:E, 0))," ")</f>
        <v xml:space="preserve"> </v>
      </c>
      <c r="E193" t="str">
        <f>IFERROR(INDEX(registro!$A:$A, MATCH($A193, registro!F:F, 0))," ")</f>
        <v xml:space="preserve"> </v>
      </c>
      <c r="F193" t="str">
        <f>IFERROR(INDEX(registro!$A:$A, MATCH($A193, registro!G:G, 0))," ")</f>
        <v xml:space="preserve"> </v>
      </c>
      <c r="G193" t="str">
        <f>IFERROR(INDEX(registro!$A:$A, MATCH($A193, registro!H:H, 0))," ")</f>
        <v xml:space="preserve"> </v>
      </c>
    </row>
    <row r="194" spans="1:7" x14ac:dyDescent="0.25">
      <c r="A194" s="3">
        <v>46422</v>
      </c>
      <c r="B194" t="str">
        <f>IFERROR(INDEX(registro!$A:$A, MATCH($A194, registro!C:C, 0))," ")</f>
        <v xml:space="preserve"> </v>
      </c>
      <c r="C194" t="str">
        <f>IFERROR(INDEX(registro!$A:$A, MATCH($A194, registro!D:D, 0))," ")</f>
        <v xml:space="preserve"> </v>
      </c>
      <c r="D194" t="str">
        <f>IFERROR(INDEX(registro!$A:$A, MATCH($A194, registro!E:E, 0))," ")</f>
        <v xml:space="preserve"> </v>
      </c>
      <c r="E194" t="str">
        <f>IFERROR(INDEX(registro!$A:$A, MATCH($A194, registro!F:F, 0))," ")</f>
        <v xml:space="preserve"> </v>
      </c>
      <c r="F194" t="str">
        <f>IFERROR(INDEX(registro!$A:$A, MATCH($A194, registro!G:G, 0))," ")</f>
        <v xml:space="preserve"> </v>
      </c>
      <c r="G194" t="str">
        <f>IFERROR(INDEX(registro!$A:$A, MATCH($A194, registro!H:H, 0))," ")</f>
        <v xml:space="preserve"> </v>
      </c>
    </row>
    <row r="195" spans="1:7" x14ac:dyDescent="0.25">
      <c r="A195" s="3">
        <v>46423</v>
      </c>
      <c r="B195" t="str">
        <f>IFERROR(INDEX(registro!$A:$A, MATCH($A195, registro!C:C, 0))," ")</f>
        <v xml:space="preserve"> </v>
      </c>
      <c r="C195" t="str">
        <f>IFERROR(INDEX(registro!$A:$A, MATCH($A195, registro!D:D, 0))," ")</f>
        <v xml:space="preserve"> </v>
      </c>
      <c r="D195" t="str">
        <f>IFERROR(INDEX(registro!$A:$A, MATCH($A195, registro!E:E, 0))," ")</f>
        <v xml:space="preserve"> </v>
      </c>
      <c r="E195" t="str">
        <f>IFERROR(INDEX(registro!$A:$A, MATCH($A195, registro!F:F, 0))," ")</f>
        <v xml:space="preserve"> </v>
      </c>
      <c r="F195" t="str">
        <f>IFERROR(INDEX(registro!$A:$A, MATCH($A195, registro!G:G, 0))," ")</f>
        <v xml:space="preserve"> </v>
      </c>
      <c r="G195" t="str">
        <f>IFERROR(INDEX(registro!$A:$A, MATCH($A195, registro!H:H, 0))," ")</f>
        <v xml:space="preserve"> </v>
      </c>
    </row>
    <row r="196" spans="1:7" x14ac:dyDescent="0.25">
      <c r="A196" s="3">
        <v>46424</v>
      </c>
      <c r="B196" t="str">
        <f>IFERROR(INDEX(registro!$A:$A, MATCH($A196, registro!C:C, 0))," ")</f>
        <v xml:space="preserve"> </v>
      </c>
      <c r="C196" t="str">
        <f>IFERROR(INDEX(registro!$A:$A, MATCH($A196, registro!D:D, 0))," ")</f>
        <v xml:space="preserve"> </v>
      </c>
      <c r="D196" t="str">
        <f>IFERROR(INDEX(registro!$A:$A, MATCH($A196, registro!E:E, 0))," ")</f>
        <v xml:space="preserve"> </v>
      </c>
      <c r="E196" t="str">
        <f>IFERROR(INDEX(registro!$A:$A, MATCH($A196, registro!F:F, 0))," ")</f>
        <v xml:space="preserve"> </v>
      </c>
      <c r="F196" t="str">
        <f>IFERROR(INDEX(registro!$A:$A, MATCH($A196, registro!G:G, 0))," ")</f>
        <v xml:space="preserve"> </v>
      </c>
      <c r="G196" t="str">
        <f>IFERROR(INDEX(registro!$A:$A, MATCH($A196, registro!H:H, 0))," ")</f>
        <v xml:space="preserve"> </v>
      </c>
    </row>
    <row r="197" spans="1:7" x14ac:dyDescent="0.25">
      <c r="A197" s="3">
        <v>46425</v>
      </c>
      <c r="B197" t="str">
        <f>IFERROR(INDEX(registro!$A:$A, MATCH($A197, registro!C:C, 0))," ")</f>
        <v xml:space="preserve"> </v>
      </c>
      <c r="C197" t="str">
        <f>IFERROR(INDEX(registro!$A:$A, MATCH($A197, registro!D:D, 0))," ")</f>
        <v xml:space="preserve"> </v>
      </c>
      <c r="D197" t="str">
        <f>IFERROR(INDEX(registro!$A:$A, MATCH($A197, registro!E:E, 0))," ")</f>
        <v xml:space="preserve"> </v>
      </c>
      <c r="E197" t="str">
        <f>IFERROR(INDEX(registro!$A:$A, MATCH($A197, registro!F:F, 0))," ")</f>
        <v xml:space="preserve"> </v>
      </c>
      <c r="F197" t="str">
        <f>IFERROR(INDEX(registro!$A:$A, MATCH($A197, registro!G:G, 0))," ")</f>
        <v xml:space="preserve"> </v>
      </c>
      <c r="G197" t="str">
        <f>IFERROR(INDEX(registro!$A:$A, MATCH($A197, registro!H:H, 0))," ")</f>
        <v xml:space="preserve"> </v>
      </c>
    </row>
    <row r="198" spans="1:7" x14ac:dyDescent="0.25">
      <c r="A198" s="3">
        <v>46426</v>
      </c>
      <c r="B198" t="str">
        <f>IFERROR(INDEX(registro!$A:$A, MATCH($A198, registro!C:C, 0))," ")</f>
        <v xml:space="preserve"> </v>
      </c>
      <c r="C198" t="str">
        <f>IFERROR(INDEX(registro!$A:$A, MATCH($A198, registro!D:D, 0))," ")</f>
        <v xml:space="preserve"> </v>
      </c>
      <c r="D198" t="str">
        <f>IFERROR(INDEX(registro!$A:$A, MATCH($A198, registro!E:E, 0))," ")</f>
        <v xml:space="preserve"> </v>
      </c>
      <c r="E198" t="str">
        <f>IFERROR(INDEX(registro!$A:$A, MATCH($A198, registro!F:F, 0))," ")</f>
        <v xml:space="preserve"> </v>
      </c>
      <c r="F198" t="str">
        <f>IFERROR(INDEX(registro!$A:$A, MATCH($A198, registro!G:G, 0))," ")</f>
        <v xml:space="preserve"> </v>
      </c>
      <c r="G198" t="str">
        <f>IFERROR(INDEX(registro!$A:$A, MATCH($A198, registro!H:H, 0))," ")</f>
        <v xml:space="preserve"> </v>
      </c>
    </row>
    <row r="199" spans="1:7" x14ac:dyDescent="0.25">
      <c r="A199" s="3">
        <v>46427</v>
      </c>
      <c r="B199" t="str">
        <f>IFERROR(INDEX(registro!$A:$A, MATCH($A199, registro!C:C, 0))," ")</f>
        <v xml:space="preserve"> </v>
      </c>
      <c r="C199" t="str">
        <f>IFERROR(INDEX(registro!$A:$A, MATCH($A199, registro!D:D, 0))," ")</f>
        <v xml:space="preserve"> </v>
      </c>
      <c r="D199" t="str">
        <f>IFERROR(INDEX(registro!$A:$A, MATCH($A199, registro!E:E, 0))," ")</f>
        <v xml:space="preserve"> </v>
      </c>
      <c r="E199" t="str">
        <f>IFERROR(INDEX(registro!$A:$A, MATCH($A199, registro!F:F, 0))," ")</f>
        <v xml:space="preserve"> </v>
      </c>
      <c r="F199" t="str">
        <f>IFERROR(INDEX(registro!$A:$A, MATCH($A199, registro!G:G, 0))," ")</f>
        <v xml:space="preserve"> </v>
      </c>
      <c r="G199" t="str">
        <f>IFERROR(INDEX(registro!$A:$A, MATCH($A199, registro!H:H, 0))," ")</f>
        <v xml:space="preserve"> </v>
      </c>
    </row>
    <row r="200" spans="1:7" x14ac:dyDescent="0.25">
      <c r="A200" s="3">
        <v>46428</v>
      </c>
      <c r="B200" t="str">
        <f>IFERROR(INDEX(registro!$A:$A, MATCH($A200, registro!C:C, 0))," ")</f>
        <v xml:space="preserve"> </v>
      </c>
      <c r="C200" t="str">
        <f>IFERROR(INDEX(registro!$A:$A, MATCH($A200, registro!D:D, 0))," ")</f>
        <v xml:space="preserve"> </v>
      </c>
      <c r="D200" t="str">
        <f>IFERROR(INDEX(registro!$A:$A, MATCH($A200, registro!E:E, 0))," ")</f>
        <v xml:space="preserve"> </v>
      </c>
      <c r="E200" t="str">
        <f>IFERROR(INDEX(registro!$A:$A, MATCH($A200, registro!F:F, 0))," ")</f>
        <v xml:space="preserve"> </v>
      </c>
      <c r="F200" t="str">
        <f>IFERROR(INDEX(registro!$A:$A, MATCH($A200, registro!G:G, 0))," ")</f>
        <v xml:space="preserve"> </v>
      </c>
      <c r="G200" t="str">
        <f>IFERROR(INDEX(registro!$A:$A, MATCH($A200, registro!H:H, 0))," ")</f>
        <v xml:space="preserve"> </v>
      </c>
    </row>
    <row r="201" spans="1:7" x14ac:dyDescent="0.25">
      <c r="A201" s="3">
        <v>46429</v>
      </c>
      <c r="B201" t="str">
        <f>IFERROR(INDEX(registro!$A:$A, MATCH($A201, registro!C:C, 0))," ")</f>
        <v xml:space="preserve"> </v>
      </c>
      <c r="C201" t="str">
        <f>IFERROR(INDEX(registro!$A:$A, MATCH($A201, registro!D:D, 0))," ")</f>
        <v xml:space="preserve"> </v>
      </c>
      <c r="D201" t="str">
        <f>IFERROR(INDEX(registro!$A:$A, MATCH($A201, registro!E:E, 0))," ")</f>
        <v xml:space="preserve"> </v>
      </c>
      <c r="E201" t="str">
        <f>IFERROR(INDEX(registro!$A:$A, MATCH($A201, registro!F:F, 0))," ")</f>
        <v xml:space="preserve"> </v>
      </c>
      <c r="F201" t="str">
        <f>IFERROR(INDEX(registro!$A:$A, MATCH($A201, registro!G:G, 0))," ")</f>
        <v xml:space="preserve"> </v>
      </c>
      <c r="G201" t="str">
        <f>IFERROR(INDEX(registro!$A:$A, MATCH($A201, registro!H:H, 0))," ")</f>
        <v xml:space="preserve"> </v>
      </c>
    </row>
    <row r="202" spans="1:7" x14ac:dyDescent="0.25">
      <c r="A202" s="3">
        <v>46430</v>
      </c>
      <c r="B202" t="str">
        <f>IFERROR(INDEX(registro!$A:$A, MATCH($A202, registro!C:C, 0))," ")</f>
        <v xml:space="preserve"> </v>
      </c>
      <c r="C202" t="str">
        <f>IFERROR(INDEX(registro!$A:$A, MATCH($A202, registro!D:D, 0))," ")</f>
        <v xml:space="preserve"> </v>
      </c>
      <c r="D202" t="str">
        <f>IFERROR(INDEX(registro!$A:$A, MATCH($A202, registro!E:E, 0))," ")</f>
        <v xml:space="preserve"> </v>
      </c>
      <c r="E202" t="str">
        <f>IFERROR(INDEX(registro!$A:$A, MATCH($A202, registro!F:F, 0))," ")</f>
        <v xml:space="preserve"> </v>
      </c>
      <c r="F202" t="str">
        <f>IFERROR(INDEX(registro!$A:$A, MATCH($A202, registro!G:G, 0))," ")</f>
        <v xml:space="preserve"> </v>
      </c>
      <c r="G202" t="str">
        <f>IFERROR(INDEX(registro!$A:$A, MATCH($A202, registro!H:H, 0))," ")</f>
        <v xml:space="preserve"> </v>
      </c>
    </row>
    <row r="203" spans="1:7" x14ac:dyDescent="0.25">
      <c r="A203" s="3">
        <v>46431</v>
      </c>
      <c r="B203" t="str">
        <f>IFERROR(INDEX(registro!$A:$A, MATCH($A203, registro!C:C, 0))," ")</f>
        <v xml:space="preserve"> </v>
      </c>
      <c r="C203" t="str">
        <f>IFERROR(INDEX(registro!$A:$A, MATCH($A203, registro!D:D, 0))," ")</f>
        <v xml:space="preserve"> </v>
      </c>
      <c r="D203" t="str">
        <f>IFERROR(INDEX(registro!$A:$A, MATCH($A203, registro!E:E, 0))," ")</f>
        <v xml:space="preserve"> </v>
      </c>
      <c r="E203" t="str">
        <f>IFERROR(INDEX(registro!$A:$A, MATCH($A203, registro!F:F, 0))," ")</f>
        <v xml:space="preserve"> </v>
      </c>
      <c r="F203" t="str">
        <f>IFERROR(INDEX(registro!$A:$A, MATCH($A203, registro!G:G, 0))," ")</f>
        <v xml:space="preserve"> </v>
      </c>
      <c r="G203" t="str">
        <f>IFERROR(INDEX(registro!$A:$A, MATCH($A203, registro!H:H, 0))," ")</f>
        <v xml:space="preserve"> </v>
      </c>
    </row>
    <row r="204" spans="1:7" x14ac:dyDescent="0.25">
      <c r="A204" s="3">
        <v>46432</v>
      </c>
      <c r="B204" t="str">
        <f>IFERROR(INDEX(registro!$A:$A, MATCH($A204, registro!C:C, 0))," ")</f>
        <v xml:space="preserve"> </v>
      </c>
      <c r="C204" t="str">
        <f>IFERROR(INDEX(registro!$A:$A, MATCH($A204, registro!D:D, 0))," ")</f>
        <v xml:space="preserve"> </v>
      </c>
      <c r="D204" t="str">
        <f>IFERROR(INDEX(registro!$A:$A, MATCH($A204, registro!E:E, 0))," ")</f>
        <v xml:space="preserve"> </v>
      </c>
      <c r="E204" t="str">
        <f>IFERROR(INDEX(registro!$A:$A, MATCH($A204, registro!F:F, 0))," ")</f>
        <v xml:space="preserve"> </v>
      </c>
      <c r="F204" t="str">
        <f>IFERROR(INDEX(registro!$A:$A, MATCH($A204, registro!G:G, 0))," ")</f>
        <v xml:space="preserve"> </v>
      </c>
      <c r="G204" t="str">
        <f>IFERROR(INDEX(registro!$A:$A, MATCH($A204, registro!H:H, 0))," ")</f>
        <v xml:space="preserve"> </v>
      </c>
    </row>
    <row r="205" spans="1:7" x14ac:dyDescent="0.25">
      <c r="A205" s="3">
        <v>46433</v>
      </c>
      <c r="B205" t="str">
        <f>IFERROR(INDEX(registro!$A:$A, MATCH($A205, registro!C:C, 0))," ")</f>
        <v xml:space="preserve"> </v>
      </c>
      <c r="C205" t="str">
        <f>IFERROR(INDEX(registro!$A:$A, MATCH($A205, registro!D:D, 0))," ")</f>
        <v xml:space="preserve"> </v>
      </c>
      <c r="D205" t="str">
        <f>IFERROR(INDEX(registro!$A:$A, MATCH($A205, registro!E:E, 0))," ")</f>
        <v xml:space="preserve"> </v>
      </c>
      <c r="E205" t="str">
        <f>IFERROR(INDEX(registro!$A:$A, MATCH($A205, registro!F:F, 0))," ")</f>
        <v xml:space="preserve"> </v>
      </c>
      <c r="F205" t="str">
        <f>IFERROR(INDEX(registro!$A:$A, MATCH($A205, registro!G:G, 0))," ")</f>
        <v xml:space="preserve"> </v>
      </c>
      <c r="G205" t="str">
        <f>IFERROR(INDEX(registro!$A:$A, MATCH($A205, registro!H:H, 0))," ")</f>
        <v xml:space="preserve"> </v>
      </c>
    </row>
    <row r="206" spans="1:7" x14ac:dyDescent="0.25">
      <c r="A206" s="3">
        <v>46434</v>
      </c>
      <c r="B206" t="str">
        <f>IFERROR(INDEX(registro!$A:$A, MATCH($A206, registro!C:C, 0))," ")</f>
        <v xml:space="preserve"> </v>
      </c>
      <c r="C206" t="str">
        <f>IFERROR(INDEX(registro!$A:$A, MATCH($A206, registro!D:D, 0))," ")</f>
        <v xml:space="preserve"> </v>
      </c>
      <c r="D206" t="str">
        <f>IFERROR(INDEX(registro!$A:$A, MATCH($A206, registro!E:E, 0))," ")</f>
        <v xml:space="preserve"> </v>
      </c>
      <c r="E206" t="str">
        <f>IFERROR(INDEX(registro!$A:$A, MATCH($A206, registro!F:F, 0))," ")</f>
        <v xml:space="preserve"> </v>
      </c>
      <c r="F206" t="str">
        <f>IFERROR(INDEX(registro!$A:$A, MATCH($A206, registro!G:G, 0))," ")</f>
        <v xml:space="preserve"> </v>
      </c>
      <c r="G206" t="str">
        <f>IFERROR(INDEX(registro!$A:$A, MATCH($A206, registro!H:H, 0))," ")</f>
        <v xml:space="preserve"> </v>
      </c>
    </row>
    <row r="207" spans="1:7" x14ac:dyDescent="0.25">
      <c r="A207" s="3">
        <v>46435</v>
      </c>
      <c r="B207" t="str">
        <f>IFERROR(INDEX(registro!$A:$A, MATCH($A207, registro!C:C, 0))," ")</f>
        <v xml:space="preserve"> </v>
      </c>
      <c r="C207" t="str">
        <f>IFERROR(INDEX(registro!$A:$A, MATCH($A207, registro!D:D, 0))," ")</f>
        <v xml:space="preserve"> </v>
      </c>
      <c r="D207" t="str">
        <f>IFERROR(INDEX(registro!$A:$A, MATCH($A207, registro!E:E, 0))," ")</f>
        <v xml:space="preserve"> </v>
      </c>
      <c r="E207" t="str">
        <f>IFERROR(INDEX(registro!$A:$A, MATCH($A207, registro!F:F, 0))," ")</f>
        <v xml:space="preserve"> </v>
      </c>
      <c r="F207" t="str">
        <f>IFERROR(INDEX(registro!$A:$A, MATCH($A207, registro!G:G, 0))," ")</f>
        <v xml:space="preserve"> </v>
      </c>
      <c r="G207" t="str">
        <f>IFERROR(INDEX(registro!$A:$A, MATCH($A207, registro!H:H, 0))," ")</f>
        <v xml:space="preserve"> </v>
      </c>
    </row>
    <row r="208" spans="1:7" x14ac:dyDescent="0.25">
      <c r="A208" s="3">
        <v>46436</v>
      </c>
      <c r="B208" t="str">
        <f>IFERROR(INDEX(registro!$A:$A, MATCH($A208, registro!C:C, 0))," ")</f>
        <v xml:space="preserve"> </v>
      </c>
      <c r="C208" t="str">
        <f>IFERROR(INDEX(registro!$A:$A, MATCH($A208, registro!D:D, 0))," ")</f>
        <v xml:space="preserve"> </v>
      </c>
      <c r="D208" t="str">
        <f>IFERROR(INDEX(registro!$A:$A, MATCH($A208, registro!E:E, 0))," ")</f>
        <v xml:space="preserve"> </v>
      </c>
      <c r="E208" t="str">
        <f>IFERROR(INDEX(registro!$A:$A, MATCH($A208, registro!F:F, 0))," ")</f>
        <v xml:space="preserve"> </v>
      </c>
      <c r="F208" t="str">
        <f>IFERROR(INDEX(registro!$A:$A, MATCH($A208, registro!G:G, 0))," ")</f>
        <v xml:space="preserve"> </v>
      </c>
      <c r="G208" t="str">
        <f>IFERROR(INDEX(registro!$A:$A, MATCH($A208, registro!H:H, 0))," ")</f>
        <v xml:space="preserve"> </v>
      </c>
    </row>
    <row r="209" spans="1:7" x14ac:dyDescent="0.25">
      <c r="A209" s="3">
        <v>46437</v>
      </c>
      <c r="B209" t="str">
        <f>IFERROR(INDEX(registro!$A:$A, MATCH($A209, registro!C:C, 0))," ")</f>
        <v xml:space="preserve"> </v>
      </c>
      <c r="C209" t="str">
        <f>IFERROR(INDEX(registro!$A:$A, MATCH($A209, registro!D:D, 0))," ")</f>
        <v xml:space="preserve"> </v>
      </c>
      <c r="D209" t="str">
        <f>IFERROR(INDEX(registro!$A:$A, MATCH($A209, registro!E:E, 0))," ")</f>
        <v xml:space="preserve"> </v>
      </c>
      <c r="E209" t="str">
        <f>IFERROR(INDEX(registro!$A:$A, MATCH($A209, registro!F:F, 0))," ")</f>
        <v xml:space="preserve"> </v>
      </c>
      <c r="F209" t="str">
        <f>IFERROR(INDEX(registro!$A:$A, MATCH($A209, registro!G:G, 0))," ")</f>
        <v xml:space="preserve"> </v>
      </c>
      <c r="G209" t="str">
        <f>IFERROR(INDEX(registro!$A:$A, MATCH($A209, registro!H:H, 0))," ")</f>
        <v xml:space="preserve"> </v>
      </c>
    </row>
    <row r="210" spans="1:7" x14ac:dyDescent="0.25">
      <c r="A210" s="3">
        <v>46438</v>
      </c>
      <c r="B210" t="str">
        <f>IFERROR(INDEX(registro!$A:$A, MATCH($A210, registro!C:C, 0))," ")</f>
        <v xml:space="preserve"> </v>
      </c>
      <c r="C210" t="str">
        <f>IFERROR(INDEX(registro!$A:$A, MATCH($A210, registro!D:D, 0))," ")</f>
        <v xml:space="preserve"> </v>
      </c>
      <c r="D210" t="str">
        <f>IFERROR(INDEX(registro!$A:$A, MATCH($A210, registro!E:E, 0))," ")</f>
        <v xml:space="preserve"> </v>
      </c>
      <c r="E210" t="str">
        <f>IFERROR(INDEX(registro!$A:$A, MATCH($A210, registro!F:F, 0))," ")</f>
        <v xml:space="preserve"> </v>
      </c>
      <c r="F210" t="str">
        <f>IFERROR(INDEX(registro!$A:$A, MATCH($A210, registro!G:G, 0))," ")</f>
        <v xml:space="preserve"> </v>
      </c>
      <c r="G210" t="str">
        <f>IFERROR(INDEX(registro!$A:$A, MATCH($A210, registro!H:H, 0))," ")</f>
        <v xml:space="preserve"> </v>
      </c>
    </row>
    <row r="211" spans="1:7" x14ac:dyDescent="0.25">
      <c r="A211" s="3">
        <v>46439</v>
      </c>
      <c r="B211" t="str">
        <f>IFERROR(INDEX(registro!$A:$A, MATCH($A211, registro!C:C, 0))," ")</f>
        <v xml:space="preserve"> </v>
      </c>
      <c r="C211" t="str">
        <f>IFERROR(INDEX(registro!$A:$A, MATCH($A211, registro!D:D, 0))," ")</f>
        <v xml:space="preserve"> </v>
      </c>
      <c r="D211" t="str">
        <f>IFERROR(INDEX(registro!$A:$A, MATCH($A211, registro!E:E, 0))," ")</f>
        <v xml:space="preserve"> </v>
      </c>
      <c r="E211" t="str">
        <f>IFERROR(INDEX(registro!$A:$A, MATCH($A211, registro!F:F, 0))," ")</f>
        <v xml:space="preserve"> </v>
      </c>
      <c r="F211" t="str">
        <f>IFERROR(INDEX(registro!$A:$A, MATCH($A211, registro!G:G, 0))," ")</f>
        <v xml:space="preserve"> </v>
      </c>
      <c r="G211" t="str">
        <f>IFERROR(INDEX(registro!$A:$A, MATCH($A211, registro!H:H, 0))," ")</f>
        <v xml:space="preserve"> </v>
      </c>
    </row>
    <row r="212" spans="1:7" x14ac:dyDescent="0.25">
      <c r="A212" s="3">
        <v>46440</v>
      </c>
      <c r="B212" t="str">
        <f>IFERROR(INDEX(registro!$A:$A, MATCH($A212, registro!C:C, 0))," ")</f>
        <v xml:space="preserve"> </v>
      </c>
      <c r="C212" t="str">
        <f>IFERROR(INDEX(registro!$A:$A, MATCH($A212, registro!D:D, 0))," ")</f>
        <v xml:space="preserve"> </v>
      </c>
      <c r="D212" t="str">
        <f>IFERROR(INDEX(registro!$A:$A, MATCH($A212, registro!E:E, 0))," ")</f>
        <v xml:space="preserve"> </v>
      </c>
      <c r="E212" t="str">
        <f>IFERROR(INDEX(registro!$A:$A, MATCH($A212, registro!F:F, 0))," ")</f>
        <v xml:space="preserve"> </v>
      </c>
      <c r="F212" t="str">
        <f>IFERROR(INDEX(registro!$A:$A, MATCH($A212, registro!G:G, 0))," ")</f>
        <v xml:space="preserve"> </v>
      </c>
      <c r="G212" t="str">
        <f>IFERROR(INDEX(registro!$A:$A, MATCH($A212, registro!H:H, 0))," ")</f>
        <v xml:space="preserve"> </v>
      </c>
    </row>
    <row r="213" spans="1:7" x14ac:dyDescent="0.25">
      <c r="A213" s="3">
        <v>46441</v>
      </c>
      <c r="B213" t="str">
        <f>IFERROR(INDEX(registro!$A:$A, MATCH($A213, registro!C:C, 0))," ")</f>
        <v xml:space="preserve"> </v>
      </c>
      <c r="C213" t="str">
        <f>IFERROR(INDEX(registro!$A:$A, MATCH($A213, registro!D:D, 0))," ")</f>
        <v xml:space="preserve"> </v>
      </c>
      <c r="D213" t="str">
        <f>IFERROR(INDEX(registro!$A:$A, MATCH($A213, registro!E:E, 0))," ")</f>
        <v xml:space="preserve"> </v>
      </c>
      <c r="E213" t="str">
        <f>IFERROR(INDEX(registro!$A:$A, MATCH($A213, registro!F:F, 0))," ")</f>
        <v xml:space="preserve"> </v>
      </c>
      <c r="F213" t="str">
        <f>IFERROR(INDEX(registro!$A:$A, MATCH($A213, registro!G:G, 0))," ")</f>
        <v xml:space="preserve"> </v>
      </c>
      <c r="G213" t="str">
        <f>IFERROR(INDEX(registro!$A:$A, MATCH($A213, registro!H:H, 0))," ")</f>
        <v xml:space="preserve"> </v>
      </c>
    </row>
    <row r="214" spans="1:7" x14ac:dyDescent="0.25">
      <c r="A214" s="3">
        <v>46442</v>
      </c>
      <c r="B214" t="str">
        <f>IFERROR(INDEX(registro!$A:$A, MATCH($A214, registro!C:C, 0))," ")</f>
        <v xml:space="preserve"> </v>
      </c>
      <c r="C214" t="str">
        <f>IFERROR(INDEX(registro!$A:$A, MATCH($A214, registro!D:D, 0))," ")</f>
        <v xml:space="preserve"> </v>
      </c>
      <c r="D214" t="str">
        <f>IFERROR(INDEX(registro!$A:$A, MATCH($A214, registro!E:E, 0))," ")</f>
        <v xml:space="preserve"> </v>
      </c>
      <c r="E214" t="str">
        <f>IFERROR(INDEX(registro!$A:$A, MATCH($A214, registro!F:F, 0))," ")</f>
        <v xml:space="preserve"> </v>
      </c>
      <c r="F214" t="str">
        <f>IFERROR(INDEX(registro!$A:$A, MATCH($A214, registro!G:G, 0))," ")</f>
        <v xml:space="preserve"> </v>
      </c>
      <c r="G214" t="str">
        <f>IFERROR(INDEX(registro!$A:$A, MATCH($A214, registro!H:H, 0))," ")</f>
        <v xml:space="preserve"> </v>
      </c>
    </row>
    <row r="215" spans="1:7" x14ac:dyDescent="0.25">
      <c r="A215" s="3">
        <v>46443</v>
      </c>
      <c r="B215" t="str">
        <f>IFERROR(INDEX(registro!$A:$A, MATCH($A215, registro!C:C, 0))," ")</f>
        <v xml:space="preserve"> </v>
      </c>
      <c r="C215" t="str">
        <f>IFERROR(INDEX(registro!$A:$A, MATCH($A215, registro!D:D, 0))," ")</f>
        <v xml:space="preserve"> </v>
      </c>
      <c r="D215" t="str">
        <f>IFERROR(INDEX(registro!$A:$A, MATCH($A215, registro!E:E, 0))," ")</f>
        <v xml:space="preserve"> </v>
      </c>
      <c r="E215" t="str">
        <f>IFERROR(INDEX(registro!$A:$A, MATCH($A215, registro!F:F, 0))," ")</f>
        <v xml:space="preserve"> </v>
      </c>
      <c r="F215" t="str">
        <f>IFERROR(INDEX(registro!$A:$A, MATCH($A215, registro!G:G, 0))," ")</f>
        <v xml:space="preserve"> </v>
      </c>
      <c r="G215" t="str">
        <f>IFERROR(INDEX(registro!$A:$A, MATCH($A215, registro!H:H, 0))," ")</f>
        <v xml:space="preserve"> </v>
      </c>
    </row>
    <row r="216" spans="1:7" x14ac:dyDescent="0.25">
      <c r="A216" s="3">
        <v>46444</v>
      </c>
      <c r="B216" t="str">
        <f>IFERROR(INDEX(registro!$A:$A, MATCH($A216, registro!C:C, 0))," ")</f>
        <v xml:space="preserve"> </v>
      </c>
      <c r="C216" t="str">
        <f>IFERROR(INDEX(registro!$A:$A, MATCH($A216, registro!D:D, 0))," ")</f>
        <v xml:space="preserve"> </v>
      </c>
      <c r="D216" t="str">
        <f>IFERROR(INDEX(registro!$A:$A, MATCH($A216, registro!E:E, 0))," ")</f>
        <v xml:space="preserve"> </v>
      </c>
      <c r="E216" t="str">
        <f>IFERROR(INDEX(registro!$A:$A, MATCH($A216, registro!F:F, 0))," ")</f>
        <v xml:space="preserve"> </v>
      </c>
      <c r="F216" t="str">
        <f>IFERROR(INDEX(registro!$A:$A, MATCH($A216, registro!G:G, 0))," ")</f>
        <v xml:space="preserve"> </v>
      </c>
      <c r="G216" t="str">
        <f>IFERROR(INDEX(registro!$A:$A, MATCH($A216, registro!H:H, 0))," ")</f>
        <v xml:space="preserve"> </v>
      </c>
    </row>
    <row r="217" spans="1:7" x14ac:dyDescent="0.25">
      <c r="A217" s="3">
        <v>46445</v>
      </c>
      <c r="B217" t="str">
        <f>IFERROR(INDEX(registro!$A:$A, MATCH($A217, registro!C:C, 0))," ")</f>
        <v xml:space="preserve"> </v>
      </c>
      <c r="C217" t="str">
        <f>IFERROR(INDEX(registro!$A:$A, MATCH($A217, registro!D:D, 0))," ")</f>
        <v xml:space="preserve"> </v>
      </c>
      <c r="D217" t="str">
        <f>IFERROR(INDEX(registro!$A:$A, MATCH($A217, registro!E:E, 0))," ")</f>
        <v xml:space="preserve"> </v>
      </c>
      <c r="E217" t="str">
        <f>IFERROR(INDEX(registro!$A:$A, MATCH($A217, registro!F:F, 0))," ")</f>
        <v xml:space="preserve"> </v>
      </c>
      <c r="F217" t="str">
        <f>IFERROR(INDEX(registro!$A:$A, MATCH($A217, registro!G:G, 0))," ")</f>
        <v xml:space="preserve"> </v>
      </c>
      <c r="G217" t="str">
        <f>IFERROR(INDEX(registro!$A:$A, MATCH($A217, registro!H:H, 0))," ")</f>
        <v xml:space="preserve"> </v>
      </c>
    </row>
    <row r="218" spans="1:7" x14ac:dyDescent="0.25">
      <c r="A218" s="3">
        <v>46446</v>
      </c>
      <c r="B218" t="str">
        <f>IFERROR(INDEX(registro!$A:$A, MATCH($A218, registro!C:C, 0))," ")</f>
        <v xml:space="preserve"> </v>
      </c>
      <c r="C218" t="str">
        <f>IFERROR(INDEX(registro!$A:$A, MATCH($A218, registro!D:D, 0))," ")</f>
        <v xml:space="preserve"> </v>
      </c>
      <c r="D218" t="str">
        <f>IFERROR(INDEX(registro!$A:$A, MATCH($A218, registro!E:E, 0))," ")</f>
        <v xml:space="preserve"> </v>
      </c>
      <c r="E218" t="str">
        <f>IFERROR(INDEX(registro!$A:$A, MATCH($A218, registro!F:F, 0))," ")</f>
        <v xml:space="preserve"> </v>
      </c>
      <c r="F218" t="str">
        <f>IFERROR(INDEX(registro!$A:$A, MATCH($A218, registro!G:G, 0))," ")</f>
        <v xml:space="preserve"> </v>
      </c>
      <c r="G218" t="str">
        <f>IFERROR(INDEX(registro!$A:$A, MATCH($A218, registro!H:H, 0))," ")</f>
        <v xml:space="preserve"> </v>
      </c>
    </row>
    <row r="219" spans="1:7" x14ac:dyDescent="0.25">
      <c r="A219" s="3">
        <v>46447</v>
      </c>
      <c r="B219" t="str">
        <f>IFERROR(INDEX(registro!$A:$A, MATCH($A219, registro!C:C, 0))," ")</f>
        <v xml:space="preserve"> </v>
      </c>
      <c r="C219" t="str">
        <f>IFERROR(INDEX(registro!$A:$A, MATCH($A219, registro!D:D, 0))," ")</f>
        <v xml:space="preserve"> </v>
      </c>
      <c r="D219" t="str">
        <f>IFERROR(INDEX(registro!$A:$A, MATCH($A219, registro!E:E, 0))," ")</f>
        <v xml:space="preserve"> </v>
      </c>
      <c r="E219" t="str">
        <f>IFERROR(INDEX(registro!$A:$A, MATCH($A219, registro!F:F, 0))," ")</f>
        <v xml:space="preserve"> </v>
      </c>
      <c r="F219" t="str">
        <f>IFERROR(INDEX(registro!$A:$A, MATCH($A219, registro!G:G, 0))," ")</f>
        <v xml:space="preserve"> </v>
      </c>
      <c r="G219" t="str">
        <f>IFERROR(INDEX(registro!$A:$A, MATCH($A219, registro!H:H, 0))," ")</f>
        <v xml:space="preserve"> </v>
      </c>
    </row>
    <row r="220" spans="1:7" x14ac:dyDescent="0.25">
      <c r="A220" s="3">
        <v>46448</v>
      </c>
      <c r="B220" t="str">
        <f>IFERROR(INDEX(registro!$A:$A, MATCH($A220, registro!C:C, 0))," ")</f>
        <v xml:space="preserve"> </v>
      </c>
      <c r="C220" t="str">
        <f>IFERROR(INDEX(registro!$A:$A, MATCH($A220, registro!D:D, 0))," ")</f>
        <v xml:space="preserve"> </v>
      </c>
      <c r="D220" t="str">
        <f>IFERROR(INDEX(registro!$A:$A, MATCH($A220, registro!E:E, 0))," ")</f>
        <v xml:space="preserve"> </v>
      </c>
      <c r="E220" t="str">
        <f>IFERROR(INDEX(registro!$A:$A, MATCH($A220, registro!F:F, 0))," ")</f>
        <v xml:space="preserve"> </v>
      </c>
      <c r="F220" t="str">
        <f>IFERROR(INDEX(registro!$A:$A, MATCH($A220, registro!G:G, 0))," ")</f>
        <v xml:space="preserve"> </v>
      </c>
      <c r="G220" t="str">
        <f>IFERROR(INDEX(registro!$A:$A, MATCH($A220, registro!H:H, 0))," ")</f>
        <v xml:space="preserve"> </v>
      </c>
    </row>
    <row r="221" spans="1:7" x14ac:dyDescent="0.25">
      <c r="A221" s="3">
        <v>46449</v>
      </c>
      <c r="B221" t="str">
        <f>IFERROR(INDEX(registro!$A:$A, MATCH($A221, registro!C:C, 0))," ")</f>
        <v xml:space="preserve"> </v>
      </c>
      <c r="C221" t="str">
        <f>IFERROR(INDEX(registro!$A:$A, MATCH($A221, registro!D:D, 0))," ")</f>
        <v xml:space="preserve"> </v>
      </c>
      <c r="D221" t="str">
        <f>IFERROR(INDEX(registro!$A:$A, MATCH($A221, registro!E:E, 0))," ")</f>
        <v xml:space="preserve"> </v>
      </c>
      <c r="E221" t="str">
        <f>IFERROR(INDEX(registro!$A:$A, MATCH($A221, registro!F:F, 0))," ")</f>
        <v xml:space="preserve"> </v>
      </c>
      <c r="F221" t="str">
        <f>IFERROR(INDEX(registro!$A:$A, MATCH($A221, registro!G:G, 0))," ")</f>
        <v xml:space="preserve"> </v>
      </c>
      <c r="G221" t="str">
        <f>IFERROR(INDEX(registro!$A:$A, MATCH($A221, registro!H:H, 0))," ")</f>
        <v xml:space="preserve"> </v>
      </c>
    </row>
    <row r="222" spans="1:7" x14ac:dyDescent="0.25">
      <c r="A222" s="3">
        <v>46450</v>
      </c>
      <c r="B222" t="str">
        <f>IFERROR(INDEX(registro!$A:$A, MATCH($A222, registro!C:C, 0))," ")</f>
        <v xml:space="preserve"> </v>
      </c>
      <c r="C222" t="str">
        <f>IFERROR(INDEX(registro!$A:$A, MATCH($A222, registro!D:D, 0))," ")</f>
        <v xml:space="preserve"> </v>
      </c>
      <c r="D222" t="str">
        <f>IFERROR(INDEX(registro!$A:$A, MATCH($A222, registro!E:E, 0))," ")</f>
        <v xml:space="preserve"> </v>
      </c>
      <c r="E222" t="str">
        <f>IFERROR(INDEX(registro!$A:$A, MATCH($A222, registro!F:F, 0))," ")</f>
        <v xml:space="preserve"> </v>
      </c>
      <c r="F222" t="str">
        <f>IFERROR(INDEX(registro!$A:$A, MATCH($A222, registro!G:G, 0))," ")</f>
        <v xml:space="preserve"> </v>
      </c>
      <c r="G222" t="str">
        <f>IFERROR(INDEX(registro!$A:$A, MATCH($A222, registro!H:H, 0))," ")</f>
        <v xml:space="preserve"> </v>
      </c>
    </row>
    <row r="223" spans="1:7" x14ac:dyDescent="0.25">
      <c r="A223" s="3">
        <v>46451</v>
      </c>
      <c r="B223" t="str">
        <f>IFERROR(INDEX(registro!$A:$A, MATCH($A223, registro!C:C, 0))," ")</f>
        <v xml:space="preserve"> </v>
      </c>
      <c r="C223" t="str">
        <f>IFERROR(INDEX(registro!$A:$A, MATCH($A223, registro!D:D, 0))," ")</f>
        <v xml:space="preserve"> </v>
      </c>
      <c r="D223" t="str">
        <f>IFERROR(INDEX(registro!$A:$A, MATCH($A223, registro!E:E, 0))," ")</f>
        <v xml:space="preserve"> </v>
      </c>
      <c r="E223" t="str">
        <f>IFERROR(INDEX(registro!$A:$A, MATCH($A223, registro!F:F, 0))," ")</f>
        <v xml:space="preserve"> </v>
      </c>
      <c r="F223" t="str">
        <f>IFERROR(INDEX(registro!$A:$A, MATCH($A223, registro!G:G, 0))," ")</f>
        <v xml:space="preserve"> </v>
      </c>
      <c r="G223" t="str">
        <f>IFERROR(INDEX(registro!$A:$A, MATCH($A223, registro!H:H, 0))," ")</f>
        <v xml:space="preserve"> </v>
      </c>
    </row>
    <row r="224" spans="1:7" x14ac:dyDescent="0.25">
      <c r="A224" s="3">
        <v>46452</v>
      </c>
      <c r="B224" t="str">
        <f>IFERROR(INDEX(registro!$A:$A, MATCH($A224, registro!C:C, 0))," ")</f>
        <v xml:space="preserve"> </v>
      </c>
      <c r="C224" t="str">
        <f>IFERROR(INDEX(registro!$A:$A, MATCH($A224, registro!D:D, 0))," ")</f>
        <v xml:space="preserve"> </v>
      </c>
      <c r="D224" t="str">
        <f>IFERROR(INDEX(registro!$A:$A, MATCH($A224, registro!E:E, 0))," ")</f>
        <v xml:space="preserve"> </v>
      </c>
      <c r="E224" t="str">
        <f>IFERROR(INDEX(registro!$A:$A, MATCH($A224, registro!F:F, 0))," ")</f>
        <v xml:space="preserve"> </v>
      </c>
      <c r="F224" t="str">
        <f>IFERROR(INDEX(registro!$A:$A, MATCH($A224, registro!G:G, 0))," ")</f>
        <v xml:space="preserve"> </v>
      </c>
      <c r="G224" t="str">
        <f>IFERROR(INDEX(registro!$A:$A, MATCH($A224, registro!H:H, 0))," ")</f>
        <v xml:space="preserve"> </v>
      </c>
    </row>
    <row r="225" spans="1:7" x14ac:dyDescent="0.25">
      <c r="A225" s="3">
        <v>46453</v>
      </c>
      <c r="B225" t="str">
        <f>IFERROR(INDEX(registro!$A:$A, MATCH($A225, registro!C:C, 0))," ")</f>
        <v xml:space="preserve"> </v>
      </c>
      <c r="C225" t="str">
        <f>IFERROR(INDEX(registro!$A:$A, MATCH($A225, registro!D:D, 0))," ")</f>
        <v xml:space="preserve"> </v>
      </c>
      <c r="D225" t="str">
        <f>IFERROR(INDEX(registro!$A:$A, MATCH($A225, registro!E:E, 0))," ")</f>
        <v xml:space="preserve"> </v>
      </c>
      <c r="E225" t="str">
        <f>IFERROR(INDEX(registro!$A:$A, MATCH($A225, registro!F:F, 0))," ")</f>
        <v xml:space="preserve"> </v>
      </c>
      <c r="F225" t="str">
        <f>IFERROR(INDEX(registro!$A:$A, MATCH($A225, registro!G:G, 0))," ")</f>
        <v xml:space="preserve"> </v>
      </c>
      <c r="G225" t="str">
        <f>IFERROR(INDEX(registro!$A:$A, MATCH($A225, registro!H:H, 0))," ")</f>
        <v xml:space="preserve"> </v>
      </c>
    </row>
    <row r="226" spans="1:7" x14ac:dyDescent="0.25">
      <c r="A226" s="3">
        <v>46454</v>
      </c>
      <c r="B226" t="str">
        <f>IFERROR(INDEX(registro!$A:$A, MATCH($A226, registro!C:C, 0))," ")</f>
        <v xml:space="preserve"> </v>
      </c>
      <c r="C226" t="str">
        <f>IFERROR(INDEX(registro!$A:$A, MATCH($A226, registro!D:D, 0))," ")</f>
        <v xml:space="preserve"> </v>
      </c>
      <c r="D226" t="str">
        <f>IFERROR(INDEX(registro!$A:$A, MATCH($A226, registro!E:E, 0))," ")</f>
        <v xml:space="preserve"> </v>
      </c>
      <c r="E226" t="str">
        <f>IFERROR(INDEX(registro!$A:$A, MATCH($A226, registro!F:F, 0))," ")</f>
        <v xml:space="preserve"> </v>
      </c>
      <c r="F226" t="str">
        <f>IFERROR(INDEX(registro!$A:$A, MATCH($A226, registro!G:G, 0))," ")</f>
        <v xml:space="preserve"> </v>
      </c>
      <c r="G226" t="str">
        <f>IFERROR(INDEX(registro!$A:$A, MATCH($A226, registro!H:H, 0))," ")</f>
        <v xml:space="preserve"> </v>
      </c>
    </row>
    <row r="227" spans="1:7" x14ac:dyDescent="0.25">
      <c r="A227" s="3">
        <v>46455</v>
      </c>
      <c r="B227" t="str">
        <f>IFERROR(INDEX(registro!$A:$A, MATCH($A227, registro!C:C, 0))," ")</f>
        <v xml:space="preserve"> </v>
      </c>
      <c r="C227" t="str">
        <f>IFERROR(INDEX(registro!$A:$A, MATCH($A227, registro!D:D, 0))," ")</f>
        <v xml:space="preserve"> </v>
      </c>
      <c r="D227" t="str">
        <f>IFERROR(INDEX(registro!$A:$A, MATCH($A227, registro!E:E, 0))," ")</f>
        <v xml:space="preserve"> </v>
      </c>
      <c r="E227" t="str">
        <f>IFERROR(INDEX(registro!$A:$A, MATCH($A227, registro!F:F, 0))," ")</f>
        <v xml:space="preserve"> </v>
      </c>
      <c r="F227" t="str">
        <f>IFERROR(INDEX(registro!$A:$A, MATCH($A227, registro!G:G, 0))," ")</f>
        <v xml:space="preserve"> </v>
      </c>
      <c r="G227" t="str">
        <f>IFERROR(INDEX(registro!$A:$A, MATCH($A227, registro!H:H, 0))," ")</f>
        <v xml:space="preserve"> </v>
      </c>
    </row>
    <row r="228" spans="1:7" x14ac:dyDescent="0.25">
      <c r="A228" s="3">
        <v>46456</v>
      </c>
      <c r="B228" t="str">
        <f>IFERROR(INDEX(registro!$A:$A, MATCH($A228, registro!C:C, 0))," ")</f>
        <v xml:space="preserve"> </v>
      </c>
      <c r="C228" t="str">
        <f>IFERROR(INDEX(registro!$A:$A, MATCH($A228, registro!D:D, 0))," ")</f>
        <v xml:space="preserve"> </v>
      </c>
      <c r="D228" t="str">
        <f>IFERROR(INDEX(registro!$A:$A, MATCH($A228, registro!E:E, 0))," ")</f>
        <v xml:space="preserve"> </v>
      </c>
      <c r="E228" t="str">
        <f>IFERROR(INDEX(registro!$A:$A, MATCH($A228, registro!F:F, 0))," ")</f>
        <v xml:space="preserve"> </v>
      </c>
      <c r="F228" t="str">
        <f>IFERROR(INDEX(registro!$A:$A, MATCH($A228, registro!G:G, 0))," ")</f>
        <v xml:space="preserve"> </v>
      </c>
      <c r="G228" t="str">
        <f>IFERROR(INDEX(registro!$A:$A, MATCH($A228, registro!H:H, 0))," ")</f>
        <v xml:space="preserve"> </v>
      </c>
    </row>
    <row r="229" spans="1:7" x14ac:dyDescent="0.25">
      <c r="A229" s="3">
        <v>46457</v>
      </c>
      <c r="B229" t="str">
        <f>IFERROR(INDEX(registro!$A:$A, MATCH($A229, registro!C:C, 0))," ")</f>
        <v xml:space="preserve"> </v>
      </c>
      <c r="C229" t="str">
        <f>IFERROR(INDEX(registro!$A:$A, MATCH($A229, registro!D:D, 0))," ")</f>
        <v xml:space="preserve"> </v>
      </c>
      <c r="D229" t="str">
        <f>IFERROR(INDEX(registro!$A:$A, MATCH($A229, registro!E:E, 0))," ")</f>
        <v xml:space="preserve"> </v>
      </c>
      <c r="E229" t="str">
        <f>IFERROR(INDEX(registro!$A:$A, MATCH($A229, registro!F:F, 0))," ")</f>
        <v xml:space="preserve"> </v>
      </c>
      <c r="F229" t="str">
        <f>IFERROR(INDEX(registro!$A:$A, MATCH($A229, registro!G:G, 0))," ")</f>
        <v xml:space="preserve"> </v>
      </c>
      <c r="G229" t="str">
        <f>IFERROR(INDEX(registro!$A:$A, MATCH($A229, registro!H:H, 0))," ")</f>
        <v xml:space="preserve"> </v>
      </c>
    </row>
    <row r="230" spans="1:7" x14ac:dyDescent="0.25">
      <c r="A230" s="3">
        <v>46458</v>
      </c>
      <c r="B230" t="str">
        <f>IFERROR(INDEX(registro!$A:$A, MATCH($A230, registro!C:C, 0))," ")</f>
        <v xml:space="preserve"> </v>
      </c>
      <c r="C230" t="str">
        <f>IFERROR(INDEX(registro!$A:$A, MATCH($A230, registro!D:D, 0))," ")</f>
        <v xml:space="preserve"> </v>
      </c>
      <c r="D230" t="str">
        <f>IFERROR(INDEX(registro!$A:$A, MATCH($A230, registro!E:E, 0))," ")</f>
        <v xml:space="preserve"> </v>
      </c>
      <c r="E230" t="str">
        <f>IFERROR(INDEX(registro!$A:$A, MATCH($A230, registro!F:F, 0))," ")</f>
        <v xml:space="preserve"> </v>
      </c>
      <c r="F230" t="str">
        <f>IFERROR(INDEX(registro!$A:$A, MATCH($A230, registro!G:G, 0))," ")</f>
        <v xml:space="preserve"> </v>
      </c>
      <c r="G230" t="str">
        <f>IFERROR(INDEX(registro!$A:$A, MATCH($A230, registro!H:H, 0))," ")</f>
        <v xml:space="preserve"> </v>
      </c>
    </row>
    <row r="231" spans="1:7" x14ac:dyDescent="0.25">
      <c r="A231" s="3">
        <v>46459</v>
      </c>
      <c r="B231" t="str">
        <f>IFERROR(INDEX(registro!$A:$A, MATCH($A231, registro!C:C, 0))," ")</f>
        <v xml:space="preserve"> </v>
      </c>
      <c r="C231" t="str">
        <f>IFERROR(INDEX(registro!$A:$A, MATCH($A231, registro!D:D, 0))," ")</f>
        <v xml:space="preserve"> </v>
      </c>
      <c r="D231" t="str">
        <f>IFERROR(INDEX(registro!$A:$A, MATCH($A231, registro!E:E, 0))," ")</f>
        <v xml:space="preserve"> </v>
      </c>
      <c r="E231" t="str">
        <f>IFERROR(INDEX(registro!$A:$A, MATCH($A231, registro!F:F, 0))," ")</f>
        <v xml:space="preserve"> </v>
      </c>
      <c r="F231" t="str">
        <f>IFERROR(INDEX(registro!$A:$A, MATCH($A231, registro!G:G, 0))," ")</f>
        <v xml:space="preserve"> </v>
      </c>
      <c r="G231" t="str">
        <f>IFERROR(INDEX(registro!$A:$A, MATCH($A231, registro!H:H, 0))," ")</f>
        <v xml:space="preserve"> </v>
      </c>
    </row>
    <row r="232" spans="1:7" x14ac:dyDescent="0.25">
      <c r="A232" s="3">
        <v>46460</v>
      </c>
      <c r="B232" t="str">
        <f>IFERROR(INDEX(registro!$A:$A, MATCH($A232, registro!C:C, 0))," ")</f>
        <v xml:space="preserve"> </v>
      </c>
      <c r="C232" t="str">
        <f>IFERROR(INDEX(registro!$A:$A, MATCH($A232, registro!D:D, 0))," ")</f>
        <v xml:space="preserve"> </v>
      </c>
      <c r="D232" t="str">
        <f>IFERROR(INDEX(registro!$A:$A, MATCH($A232, registro!E:E, 0))," ")</f>
        <v xml:space="preserve"> </v>
      </c>
      <c r="E232" t="str">
        <f>IFERROR(INDEX(registro!$A:$A, MATCH($A232, registro!F:F, 0))," ")</f>
        <v xml:space="preserve"> </v>
      </c>
      <c r="F232" t="str">
        <f>IFERROR(INDEX(registro!$A:$A, MATCH($A232, registro!G:G, 0))," ")</f>
        <v xml:space="preserve"> </v>
      </c>
      <c r="G232" t="str">
        <f>IFERROR(INDEX(registro!$A:$A, MATCH($A232, registro!H:H, 0))," ")</f>
        <v xml:space="preserve"> </v>
      </c>
    </row>
    <row r="233" spans="1:7" x14ac:dyDescent="0.25">
      <c r="A233" s="3">
        <v>46461</v>
      </c>
      <c r="B233" t="str">
        <f>IFERROR(INDEX(registro!$A:$A, MATCH($A233, registro!C:C, 0))," ")</f>
        <v xml:space="preserve"> </v>
      </c>
      <c r="C233" t="str">
        <f>IFERROR(INDEX(registro!$A:$A, MATCH($A233, registro!D:D, 0))," ")</f>
        <v xml:space="preserve"> </v>
      </c>
      <c r="D233" t="str">
        <f>IFERROR(INDEX(registro!$A:$A, MATCH($A233, registro!E:E, 0))," ")</f>
        <v xml:space="preserve"> </v>
      </c>
      <c r="E233" t="str">
        <f>IFERROR(INDEX(registro!$A:$A, MATCH($A233, registro!F:F, 0))," ")</f>
        <v xml:space="preserve"> </v>
      </c>
      <c r="F233" t="str">
        <f>IFERROR(INDEX(registro!$A:$A, MATCH($A233, registro!G:G, 0))," ")</f>
        <v xml:space="preserve"> </v>
      </c>
      <c r="G233" t="str">
        <f>IFERROR(INDEX(registro!$A:$A, MATCH($A233, registro!H:H, 0))," ")</f>
        <v xml:space="preserve"> </v>
      </c>
    </row>
    <row r="234" spans="1:7" x14ac:dyDescent="0.25">
      <c r="A234" s="3">
        <v>46462</v>
      </c>
      <c r="B234" t="str">
        <f>IFERROR(INDEX(registro!$A:$A, MATCH($A234, registro!C:C, 0))," ")</f>
        <v xml:space="preserve"> </v>
      </c>
      <c r="C234" t="str">
        <f>IFERROR(INDEX(registro!$A:$A, MATCH($A234, registro!D:D, 0))," ")</f>
        <v xml:space="preserve"> </v>
      </c>
      <c r="D234" t="str">
        <f>IFERROR(INDEX(registro!$A:$A, MATCH($A234, registro!E:E, 0))," ")</f>
        <v xml:space="preserve"> </v>
      </c>
      <c r="E234" t="str">
        <f>IFERROR(INDEX(registro!$A:$A, MATCH($A234, registro!F:F, 0))," ")</f>
        <v xml:space="preserve"> </v>
      </c>
      <c r="F234" t="str">
        <f>IFERROR(INDEX(registro!$A:$A, MATCH($A234, registro!G:G, 0))," ")</f>
        <v xml:space="preserve"> </v>
      </c>
      <c r="G234" t="str">
        <f>IFERROR(INDEX(registro!$A:$A, MATCH($A234, registro!H:H, 0))," ")</f>
        <v xml:space="preserve"> </v>
      </c>
    </row>
    <row r="235" spans="1:7" x14ac:dyDescent="0.25">
      <c r="A235" s="3">
        <v>46463</v>
      </c>
      <c r="B235" t="str">
        <f>IFERROR(INDEX(registro!$A:$A, MATCH($A235, registro!C:C, 0))," ")</f>
        <v xml:space="preserve"> </v>
      </c>
      <c r="C235" t="str">
        <f>IFERROR(INDEX(registro!$A:$A, MATCH($A235, registro!D:D, 0))," ")</f>
        <v xml:space="preserve"> </v>
      </c>
      <c r="D235" t="str">
        <f>IFERROR(INDEX(registro!$A:$A, MATCH($A235, registro!E:E, 0))," ")</f>
        <v xml:space="preserve"> </v>
      </c>
      <c r="E235" t="str">
        <f>IFERROR(INDEX(registro!$A:$A, MATCH($A235, registro!F:F, 0))," ")</f>
        <v xml:space="preserve"> </v>
      </c>
      <c r="F235" t="str">
        <f>IFERROR(INDEX(registro!$A:$A, MATCH($A235, registro!G:G, 0))," ")</f>
        <v xml:space="preserve"> </v>
      </c>
      <c r="G235" t="str">
        <f>IFERROR(INDEX(registro!$A:$A, MATCH($A235, registro!H:H, 0))," ")</f>
        <v xml:space="preserve"> </v>
      </c>
    </row>
    <row r="236" spans="1:7" x14ac:dyDescent="0.25">
      <c r="A236" s="3">
        <v>46464</v>
      </c>
      <c r="B236" t="str">
        <f>IFERROR(INDEX(registro!$A:$A, MATCH($A236, registro!C:C, 0))," ")</f>
        <v xml:space="preserve"> </v>
      </c>
      <c r="C236" t="str">
        <f>IFERROR(INDEX(registro!$A:$A, MATCH($A236, registro!D:D, 0))," ")</f>
        <v xml:space="preserve"> </v>
      </c>
      <c r="D236" t="str">
        <f>IFERROR(INDEX(registro!$A:$A, MATCH($A236, registro!E:E, 0))," ")</f>
        <v xml:space="preserve"> </v>
      </c>
      <c r="E236" t="str">
        <f>IFERROR(INDEX(registro!$A:$A, MATCH($A236, registro!F:F, 0))," ")</f>
        <v xml:space="preserve"> </v>
      </c>
      <c r="F236" t="str">
        <f>IFERROR(INDEX(registro!$A:$A, MATCH($A236, registro!G:G, 0))," ")</f>
        <v xml:space="preserve"> </v>
      </c>
      <c r="G236" t="str">
        <f>IFERROR(INDEX(registro!$A:$A, MATCH($A236, registro!H:H, 0))," ")</f>
        <v xml:space="preserve"> </v>
      </c>
    </row>
    <row r="237" spans="1:7" x14ac:dyDescent="0.25">
      <c r="A237" s="3">
        <v>46465</v>
      </c>
      <c r="B237" t="str">
        <f>IFERROR(INDEX(registro!$A:$A, MATCH($A237, registro!C:C, 0))," ")</f>
        <v xml:space="preserve"> </v>
      </c>
      <c r="C237" t="str">
        <f>IFERROR(INDEX(registro!$A:$A, MATCH($A237, registro!D:D, 0))," ")</f>
        <v xml:space="preserve"> </v>
      </c>
      <c r="D237" t="str">
        <f>IFERROR(INDEX(registro!$A:$A, MATCH($A237, registro!E:E, 0))," ")</f>
        <v xml:space="preserve"> </v>
      </c>
      <c r="E237" t="str">
        <f>IFERROR(INDEX(registro!$A:$A, MATCH($A237, registro!F:F, 0))," ")</f>
        <v xml:space="preserve"> </v>
      </c>
      <c r="F237" t="str">
        <f>IFERROR(INDEX(registro!$A:$A, MATCH($A237, registro!G:G, 0))," ")</f>
        <v xml:space="preserve"> </v>
      </c>
      <c r="G237" t="str">
        <f>IFERROR(INDEX(registro!$A:$A, MATCH($A237, registro!H:H, 0))," ")</f>
        <v xml:space="preserve"> </v>
      </c>
    </row>
    <row r="238" spans="1:7" x14ac:dyDescent="0.25">
      <c r="A238" s="3">
        <v>46466</v>
      </c>
      <c r="B238" t="str">
        <f>IFERROR(INDEX(registro!$A:$A, MATCH($A238, registro!C:C, 0))," ")</f>
        <v xml:space="preserve"> </v>
      </c>
      <c r="C238" t="str">
        <f>IFERROR(INDEX(registro!$A:$A, MATCH($A238, registro!D:D, 0))," ")</f>
        <v xml:space="preserve"> </v>
      </c>
      <c r="D238" t="str">
        <f>IFERROR(INDEX(registro!$A:$A, MATCH($A238, registro!E:E, 0))," ")</f>
        <v xml:space="preserve"> </v>
      </c>
      <c r="E238" t="str">
        <f>IFERROR(INDEX(registro!$A:$A, MATCH($A238, registro!F:F, 0))," ")</f>
        <v xml:space="preserve"> </v>
      </c>
      <c r="F238" t="str">
        <f>IFERROR(INDEX(registro!$A:$A, MATCH($A238, registro!G:G, 0))," ")</f>
        <v xml:space="preserve"> </v>
      </c>
      <c r="G238" t="str">
        <f>IFERROR(INDEX(registro!$A:$A, MATCH($A238, registro!H:H, 0))," ")</f>
        <v xml:space="preserve"> </v>
      </c>
    </row>
    <row r="239" spans="1:7" x14ac:dyDescent="0.25">
      <c r="A239" s="3">
        <v>46467</v>
      </c>
      <c r="B239" t="str">
        <f>IFERROR(INDEX(registro!$A:$A, MATCH($A239, registro!C:C, 0))," ")</f>
        <v xml:space="preserve"> </v>
      </c>
      <c r="C239" t="str">
        <f>IFERROR(INDEX(registro!$A:$A, MATCH($A239, registro!D:D, 0))," ")</f>
        <v xml:space="preserve"> </v>
      </c>
      <c r="D239" t="str">
        <f>IFERROR(INDEX(registro!$A:$A, MATCH($A239, registro!E:E, 0))," ")</f>
        <v xml:space="preserve"> </v>
      </c>
      <c r="E239" t="str">
        <f>IFERROR(INDEX(registro!$A:$A, MATCH($A239, registro!F:F, 0))," ")</f>
        <v xml:space="preserve"> </v>
      </c>
      <c r="F239" t="str">
        <f>IFERROR(INDEX(registro!$A:$A, MATCH($A239, registro!G:G, 0))," ")</f>
        <v xml:space="preserve"> </v>
      </c>
      <c r="G239" t="str">
        <f>IFERROR(INDEX(registro!$A:$A, MATCH($A239, registro!H:H, 0))," ")</f>
        <v xml:space="preserve"> </v>
      </c>
    </row>
    <row r="240" spans="1:7" x14ac:dyDescent="0.25">
      <c r="A240" s="3">
        <v>46468</v>
      </c>
      <c r="B240" t="str">
        <f>IFERROR(INDEX(registro!$A:$A, MATCH($A240, registro!C:C, 0))," ")</f>
        <v xml:space="preserve"> </v>
      </c>
      <c r="C240" t="str">
        <f>IFERROR(INDEX(registro!$A:$A, MATCH($A240, registro!D:D, 0))," ")</f>
        <v xml:space="preserve"> </v>
      </c>
      <c r="D240" t="str">
        <f>IFERROR(INDEX(registro!$A:$A, MATCH($A240, registro!E:E, 0))," ")</f>
        <v xml:space="preserve"> </v>
      </c>
      <c r="E240" t="str">
        <f>IFERROR(INDEX(registro!$A:$A, MATCH($A240, registro!F:F, 0))," ")</f>
        <v xml:space="preserve"> </v>
      </c>
      <c r="F240" t="str">
        <f>IFERROR(INDEX(registro!$A:$A, MATCH($A240, registro!G:G, 0))," ")</f>
        <v xml:space="preserve"> </v>
      </c>
      <c r="G240" t="str">
        <f>IFERROR(INDEX(registro!$A:$A, MATCH($A240, registro!H:H, 0))," ")</f>
        <v xml:space="preserve"> </v>
      </c>
    </row>
    <row r="241" spans="1:7" x14ac:dyDescent="0.25">
      <c r="A241" s="3">
        <v>46469</v>
      </c>
      <c r="B241" t="str">
        <f>IFERROR(INDEX(registro!$A:$A, MATCH($A241, registro!C:C, 0))," ")</f>
        <v xml:space="preserve"> </v>
      </c>
      <c r="C241" t="str">
        <f>IFERROR(INDEX(registro!$A:$A, MATCH($A241, registro!D:D, 0))," ")</f>
        <v xml:space="preserve"> </v>
      </c>
      <c r="D241" t="str">
        <f>IFERROR(INDEX(registro!$A:$A, MATCH($A241, registro!E:E, 0))," ")</f>
        <v xml:space="preserve"> </v>
      </c>
      <c r="E241" t="str">
        <f>IFERROR(INDEX(registro!$A:$A, MATCH($A241, registro!F:F, 0))," ")</f>
        <v xml:space="preserve"> </v>
      </c>
      <c r="F241" t="str">
        <f>IFERROR(INDEX(registro!$A:$A, MATCH($A241, registro!G:G, 0))," ")</f>
        <v xml:space="preserve"> </v>
      </c>
      <c r="G241" t="str">
        <f>IFERROR(INDEX(registro!$A:$A, MATCH($A241, registro!H:H, 0))," ")</f>
        <v xml:space="preserve"> </v>
      </c>
    </row>
    <row r="242" spans="1:7" x14ac:dyDescent="0.25">
      <c r="A242" s="3">
        <v>46470</v>
      </c>
      <c r="B242" t="str">
        <f>IFERROR(INDEX(registro!$A:$A, MATCH($A242, registro!C:C, 0))," ")</f>
        <v xml:space="preserve"> </v>
      </c>
      <c r="C242" t="str">
        <f>IFERROR(INDEX(registro!$A:$A, MATCH($A242, registro!D:D, 0))," ")</f>
        <v xml:space="preserve"> </v>
      </c>
      <c r="D242" t="str">
        <f>IFERROR(INDEX(registro!$A:$A, MATCH($A242, registro!E:E, 0))," ")</f>
        <v xml:space="preserve"> </v>
      </c>
      <c r="E242" t="str">
        <f>IFERROR(INDEX(registro!$A:$A, MATCH($A242, registro!F:F, 0))," ")</f>
        <v xml:space="preserve"> </v>
      </c>
      <c r="F242" t="str">
        <f>IFERROR(INDEX(registro!$A:$A, MATCH($A242, registro!G:G, 0))," ")</f>
        <v xml:space="preserve"> </v>
      </c>
      <c r="G242" t="str">
        <f>IFERROR(INDEX(registro!$A:$A, MATCH($A242, registro!H:H, 0))," ")</f>
        <v xml:space="preserve"> </v>
      </c>
    </row>
    <row r="243" spans="1:7" x14ac:dyDescent="0.25">
      <c r="A243" s="3">
        <v>46471</v>
      </c>
      <c r="B243" t="str">
        <f>IFERROR(INDEX(registro!$A:$A, MATCH($A243, registro!C:C, 0))," ")</f>
        <v xml:space="preserve"> </v>
      </c>
      <c r="C243" t="str">
        <f>IFERROR(INDEX(registro!$A:$A, MATCH($A243, registro!D:D, 0))," ")</f>
        <v xml:space="preserve"> </v>
      </c>
      <c r="D243" t="str">
        <f>IFERROR(INDEX(registro!$A:$A, MATCH($A243, registro!E:E, 0))," ")</f>
        <v xml:space="preserve"> </v>
      </c>
      <c r="E243" t="str">
        <f>IFERROR(INDEX(registro!$A:$A, MATCH($A243, registro!F:F, 0))," ")</f>
        <v xml:space="preserve"> </v>
      </c>
      <c r="F243" t="str">
        <f>IFERROR(INDEX(registro!$A:$A, MATCH($A243, registro!G:G, 0))," ")</f>
        <v xml:space="preserve"> </v>
      </c>
      <c r="G243" t="str">
        <f>IFERROR(INDEX(registro!$A:$A, MATCH($A243, registro!H:H, 0))," ")</f>
        <v xml:space="preserve"> </v>
      </c>
    </row>
    <row r="244" spans="1:7" x14ac:dyDescent="0.25">
      <c r="A244" s="3">
        <v>46472</v>
      </c>
      <c r="B244" t="str">
        <f>IFERROR(INDEX(registro!$A:$A, MATCH($A244, registro!C:C, 0))," ")</f>
        <v xml:space="preserve"> </v>
      </c>
      <c r="C244" t="str">
        <f>IFERROR(INDEX(registro!$A:$A, MATCH($A244, registro!D:D, 0))," ")</f>
        <v xml:space="preserve"> </v>
      </c>
      <c r="D244" t="str">
        <f>IFERROR(INDEX(registro!$A:$A, MATCH($A244, registro!E:E, 0))," ")</f>
        <v xml:space="preserve"> </v>
      </c>
      <c r="E244" t="str">
        <f>IFERROR(INDEX(registro!$A:$A, MATCH($A244, registro!F:F, 0))," ")</f>
        <v xml:space="preserve"> </v>
      </c>
      <c r="F244" t="str">
        <f>IFERROR(INDEX(registro!$A:$A, MATCH($A244, registro!G:G, 0))," ")</f>
        <v xml:space="preserve"> </v>
      </c>
      <c r="G244" t="str">
        <f>IFERROR(INDEX(registro!$A:$A, MATCH($A244, registro!H:H, 0))," ")</f>
        <v xml:space="preserve"> </v>
      </c>
    </row>
    <row r="245" spans="1:7" x14ac:dyDescent="0.25">
      <c r="A245" s="3">
        <v>46473</v>
      </c>
      <c r="B245" t="str">
        <f>IFERROR(INDEX(registro!$A:$A, MATCH($A245, registro!C:C, 0))," ")</f>
        <v xml:space="preserve"> </v>
      </c>
      <c r="C245" t="str">
        <f>IFERROR(INDEX(registro!$A:$A, MATCH($A245, registro!D:D, 0))," ")</f>
        <v xml:space="preserve"> </v>
      </c>
      <c r="D245" t="str">
        <f>IFERROR(INDEX(registro!$A:$A, MATCH($A245, registro!E:E, 0))," ")</f>
        <v xml:space="preserve"> </v>
      </c>
      <c r="E245" t="str">
        <f>IFERROR(INDEX(registro!$A:$A, MATCH($A245, registro!F:F, 0))," ")</f>
        <v xml:space="preserve"> </v>
      </c>
      <c r="F245" t="str">
        <f>IFERROR(INDEX(registro!$A:$A, MATCH($A245, registro!G:G, 0))," ")</f>
        <v xml:space="preserve"> </v>
      </c>
      <c r="G245" t="str">
        <f>IFERROR(INDEX(registro!$A:$A, MATCH($A245, registro!H:H, 0))," ")</f>
        <v xml:space="preserve"> </v>
      </c>
    </row>
    <row r="246" spans="1:7" x14ac:dyDescent="0.25">
      <c r="A246" s="3">
        <v>46474</v>
      </c>
      <c r="B246" t="str">
        <f>IFERROR(INDEX(registro!$A:$A, MATCH($A246, registro!C:C, 0))," ")</f>
        <v xml:space="preserve"> </v>
      </c>
      <c r="C246" t="str">
        <f>IFERROR(INDEX(registro!$A:$A, MATCH($A246, registro!D:D, 0))," ")</f>
        <v xml:space="preserve"> </v>
      </c>
      <c r="D246" t="str">
        <f>IFERROR(INDEX(registro!$A:$A, MATCH($A246, registro!E:E, 0))," ")</f>
        <v xml:space="preserve"> </v>
      </c>
      <c r="E246" t="str">
        <f>IFERROR(INDEX(registro!$A:$A, MATCH($A246, registro!F:F, 0))," ")</f>
        <v xml:space="preserve"> </v>
      </c>
      <c r="F246" t="str">
        <f>IFERROR(INDEX(registro!$A:$A, MATCH($A246, registro!G:G, 0))," ")</f>
        <v xml:space="preserve"> </v>
      </c>
      <c r="G246" t="str">
        <f>IFERROR(INDEX(registro!$A:$A, MATCH($A246, registro!H:H, 0))," ")</f>
        <v xml:space="preserve"> </v>
      </c>
    </row>
    <row r="247" spans="1:7" x14ac:dyDescent="0.25">
      <c r="A247" s="3">
        <v>46475</v>
      </c>
      <c r="B247" t="str">
        <f>IFERROR(INDEX(registro!$A:$A, MATCH($A247, registro!C:C, 0))," ")</f>
        <v xml:space="preserve"> </v>
      </c>
      <c r="C247" t="str">
        <f>IFERROR(INDEX(registro!$A:$A, MATCH($A247, registro!D:D, 0))," ")</f>
        <v xml:space="preserve"> </v>
      </c>
      <c r="D247" t="str">
        <f>IFERROR(INDEX(registro!$A:$A, MATCH($A247, registro!E:E, 0))," ")</f>
        <v xml:space="preserve"> </v>
      </c>
      <c r="E247" t="str">
        <f>IFERROR(INDEX(registro!$A:$A, MATCH($A247, registro!F:F, 0))," ")</f>
        <v xml:space="preserve"> </v>
      </c>
      <c r="F247" t="str">
        <f>IFERROR(INDEX(registro!$A:$A, MATCH($A247, registro!G:G, 0))," ")</f>
        <v xml:space="preserve"> </v>
      </c>
      <c r="G247" t="str">
        <f>IFERROR(INDEX(registro!$A:$A, MATCH($A247, registro!H:H, 0))," ")</f>
        <v xml:space="preserve"> </v>
      </c>
    </row>
    <row r="248" spans="1:7" x14ac:dyDescent="0.25">
      <c r="A248" s="3">
        <v>46476</v>
      </c>
      <c r="B248" t="str">
        <f>IFERROR(INDEX(registro!$A:$A, MATCH($A248, registro!C:C, 0))," ")</f>
        <v xml:space="preserve"> </v>
      </c>
      <c r="C248" t="str">
        <f>IFERROR(INDEX(registro!$A:$A, MATCH($A248, registro!D:D, 0))," ")</f>
        <v xml:space="preserve"> </v>
      </c>
      <c r="D248" t="str">
        <f>IFERROR(INDEX(registro!$A:$A, MATCH($A248, registro!E:E, 0))," ")</f>
        <v xml:space="preserve"> </v>
      </c>
      <c r="E248" t="str">
        <f>IFERROR(INDEX(registro!$A:$A, MATCH($A248, registro!F:F, 0))," ")</f>
        <v xml:space="preserve"> </v>
      </c>
      <c r="F248" t="str">
        <f>IFERROR(INDEX(registro!$A:$A, MATCH($A248, registro!G:G, 0))," ")</f>
        <v xml:space="preserve"> </v>
      </c>
      <c r="G248" t="str">
        <f>IFERROR(INDEX(registro!$A:$A, MATCH($A248, registro!H:H, 0))," ")</f>
        <v xml:space="preserve"> </v>
      </c>
    </row>
    <row r="249" spans="1:7" x14ac:dyDescent="0.25">
      <c r="A249" s="3">
        <v>46477</v>
      </c>
      <c r="B249" t="str">
        <f>IFERROR(INDEX(registro!$A:$A, MATCH($A249, registro!C:C, 0))," ")</f>
        <v xml:space="preserve"> </v>
      </c>
      <c r="C249" t="str">
        <f>IFERROR(INDEX(registro!$A:$A, MATCH($A249, registro!D:D, 0))," ")</f>
        <v xml:space="preserve"> </v>
      </c>
      <c r="D249" t="str">
        <f>IFERROR(INDEX(registro!$A:$A, MATCH($A249, registro!E:E, 0))," ")</f>
        <v xml:space="preserve"> </v>
      </c>
      <c r="E249" t="str">
        <f>IFERROR(INDEX(registro!$A:$A, MATCH($A249, registro!F:F, 0))," ")</f>
        <v xml:space="preserve"> </v>
      </c>
      <c r="F249" t="str">
        <f>IFERROR(INDEX(registro!$A:$A, MATCH($A249, registro!G:G, 0))," ")</f>
        <v xml:space="preserve"> </v>
      </c>
      <c r="G249" t="str">
        <f>IFERROR(INDEX(registro!$A:$A, MATCH($A249, registro!H:H, 0))," ")</f>
        <v xml:space="preserve"> </v>
      </c>
    </row>
    <row r="250" spans="1:7" x14ac:dyDescent="0.25">
      <c r="A250" s="3">
        <v>46478</v>
      </c>
      <c r="B250" t="str">
        <f>IFERROR(INDEX(registro!$A:$A, MATCH($A250, registro!C:C, 0))," ")</f>
        <v xml:space="preserve"> </v>
      </c>
      <c r="C250" t="str">
        <f>IFERROR(INDEX(registro!$A:$A, MATCH($A250, registro!D:D, 0))," ")</f>
        <v xml:space="preserve"> </v>
      </c>
      <c r="D250" t="str">
        <f>IFERROR(INDEX(registro!$A:$A, MATCH($A250, registro!E:E, 0))," ")</f>
        <v xml:space="preserve"> </v>
      </c>
      <c r="E250" t="str">
        <f>IFERROR(INDEX(registro!$A:$A, MATCH($A250, registro!F:F, 0))," ")</f>
        <v xml:space="preserve"> </v>
      </c>
      <c r="F250" t="str">
        <f>IFERROR(INDEX(registro!$A:$A, MATCH($A250, registro!G:G, 0))," ")</f>
        <v xml:space="preserve"> </v>
      </c>
      <c r="G250" t="str">
        <f>IFERROR(INDEX(registro!$A:$A, MATCH($A250, registro!H:H, 0))," ")</f>
        <v xml:space="preserve"> </v>
      </c>
    </row>
    <row r="251" spans="1:7" x14ac:dyDescent="0.25">
      <c r="A251" s="3">
        <v>46479</v>
      </c>
      <c r="B251" t="str">
        <f>IFERROR(INDEX(registro!$A:$A, MATCH($A251, registro!C:C, 0))," ")</f>
        <v xml:space="preserve"> </v>
      </c>
      <c r="C251" t="str">
        <f>IFERROR(INDEX(registro!$A:$A, MATCH($A251, registro!D:D, 0))," ")</f>
        <v xml:space="preserve"> </v>
      </c>
      <c r="D251" t="str">
        <f>IFERROR(INDEX(registro!$A:$A, MATCH($A251, registro!E:E, 0))," ")</f>
        <v xml:space="preserve"> </v>
      </c>
      <c r="E251" t="str">
        <f>IFERROR(INDEX(registro!$A:$A, MATCH($A251, registro!F:F, 0))," ")</f>
        <v xml:space="preserve"> </v>
      </c>
      <c r="F251" t="str">
        <f>IFERROR(INDEX(registro!$A:$A, MATCH($A251, registro!G:G, 0))," ")</f>
        <v xml:space="preserve"> </v>
      </c>
      <c r="G251" t="str">
        <f>IFERROR(INDEX(registro!$A:$A, MATCH($A251, registro!H:H, 0))," ")</f>
        <v xml:space="preserve"> </v>
      </c>
    </row>
    <row r="252" spans="1:7" x14ac:dyDescent="0.25">
      <c r="A252" s="3">
        <v>46480</v>
      </c>
      <c r="B252" t="str">
        <f>IFERROR(INDEX(registro!$A:$A, MATCH($A252, registro!C:C, 0))," ")</f>
        <v xml:space="preserve"> </v>
      </c>
      <c r="C252" t="str">
        <f>IFERROR(INDEX(registro!$A:$A, MATCH($A252, registro!D:D, 0))," ")</f>
        <v xml:space="preserve"> </v>
      </c>
      <c r="D252" t="str">
        <f>IFERROR(INDEX(registro!$A:$A, MATCH($A252, registro!E:E, 0))," ")</f>
        <v xml:space="preserve"> </v>
      </c>
      <c r="E252" t="str">
        <f>IFERROR(INDEX(registro!$A:$A, MATCH($A252, registro!F:F, 0))," ")</f>
        <v xml:space="preserve"> </v>
      </c>
      <c r="F252" t="str">
        <f>IFERROR(INDEX(registro!$A:$A, MATCH($A252, registro!G:G, 0))," ")</f>
        <v xml:space="preserve"> </v>
      </c>
      <c r="G252" t="str">
        <f>IFERROR(INDEX(registro!$A:$A, MATCH($A252, registro!H:H, 0))," ")</f>
        <v xml:space="preserve"> </v>
      </c>
    </row>
    <row r="253" spans="1:7" x14ac:dyDescent="0.25">
      <c r="A253" s="3">
        <v>46481</v>
      </c>
      <c r="B253" t="str">
        <f>IFERROR(INDEX(registro!$A:$A, MATCH($A253, registro!C:C, 0))," ")</f>
        <v xml:space="preserve"> </v>
      </c>
      <c r="C253" t="str">
        <f>IFERROR(INDEX(registro!$A:$A, MATCH($A253, registro!D:D, 0))," ")</f>
        <v xml:space="preserve"> </v>
      </c>
      <c r="D253" t="str">
        <f>IFERROR(INDEX(registro!$A:$A, MATCH($A253, registro!E:E, 0))," ")</f>
        <v xml:space="preserve"> </v>
      </c>
      <c r="E253" t="str">
        <f>IFERROR(INDEX(registro!$A:$A, MATCH($A253, registro!F:F, 0))," ")</f>
        <v xml:space="preserve"> </v>
      </c>
      <c r="F253" t="str">
        <f>IFERROR(INDEX(registro!$A:$A, MATCH($A253, registro!G:G, 0))," ")</f>
        <v xml:space="preserve"> </v>
      </c>
      <c r="G253" t="str">
        <f>IFERROR(INDEX(registro!$A:$A, MATCH($A253, registro!H:H, 0))," ")</f>
        <v xml:space="preserve"> </v>
      </c>
    </row>
    <row r="254" spans="1:7" x14ac:dyDescent="0.25">
      <c r="A254" s="3">
        <v>46482</v>
      </c>
      <c r="B254" t="str">
        <f>IFERROR(INDEX(registro!$A:$A, MATCH($A254, registro!C:C, 0))," ")</f>
        <v xml:space="preserve"> </v>
      </c>
      <c r="C254" t="str">
        <f>IFERROR(INDEX(registro!$A:$A, MATCH($A254, registro!D:D, 0))," ")</f>
        <v xml:space="preserve"> </v>
      </c>
      <c r="D254" t="str">
        <f>IFERROR(INDEX(registro!$A:$A, MATCH($A254, registro!E:E, 0))," ")</f>
        <v xml:space="preserve"> </v>
      </c>
      <c r="E254" t="str">
        <f>IFERROR(INDEX(registro!$A:$A, MATCH($A254, registro!F:F, 0))," ")</f>
        <v xml:space="preserve"> </v>
      </c>
      <c r="F254" t="str">
        <f>IFERROR(INDEX(registro!$A:$A, MATCH($A254, registro!G:G, 0))," ")</f>
        <v xml:space="preserve"> </v>
      </c>
      <c r="G254" t="str">
        <f>IFERROR(INDEX(registro!$A:$A, MATCH($A254, registro!H:H, 0))," ")</f>
        <v xml:space="preserve"> </v>
      </c>
    </row>
    <row r="255" spans="1:7" x14ac:dyDescent="0.25">
      <c r="A255" s="3">
        <v>46483</v>
      </c>
      <c r="B255" t="str">
        <f>IFERROR(INDEX(registro!$A:$A, MATCH($A255, registro!C:C, 0))," ")</f>
        <v xml:space="preserve"> </v>
      </c>
      <c r="C255" t="str">
        <f>IFERROR(INDEX(registro!$A:$A, MATCH($A255, registro!D:D, 0))," ")</f>
        <v xml:space="preserve"> </v>
      </c>
      <c r="D255" t="str">
        <f>IFERROR(INDEX(registro!$A:$A, MATCH($A255, registro!E:E, 0))," ")</f>
        <v xml:space="preserve"> </v>
      </c>
      <c r="E255" t="str">
        <f>IFERROR(INDEX(registro!$A:$A, MATCH($A255, registro!F:F, 0))," ")</f>
        <v xml:space="preserve"> </v>
      </c>
      <c r="F255" t="str">
        <f>IFERROR(INDEX(registro!$A:$A, MATCH($A255, registro!G:G, 0))," ")</f>
        <v xml:space="preserve"> </v>
      </c>
      <c r="G255" t="str">
        <f>IFERROR(INDEX(registro!$A:$A, MATCH($A255, registro!H:H, 0))," ")</f>
        <v xml:space="preserve"> </v>
      </c>
    </row>
    <row r="256" spans="1:7" x14ac:dyDescent="0.25">
      <c r="A256" s="3">
        <v>46484</v>
      </c>
      <c r="B256" t="str">
        <f>IFERROR(INDEX(registro!$A:$A, MATCH($A256, registro!C:C, 0))," ")</f>
        <v xml:space="preserve"> </v>
      </c>
      <c r="C256" t="str">
        <f>IFERROR(INDEX(registro!$A:$A, MATCH($A256, registro!D:D, 0))," ")</f>
        <v xml:space="preserve"> </v>
      </c>
      <c r="D256" t="str">
        <f>IFERROR(INDEX(registro!$A:$A, MATCH($A256, registro!E:E, 0))," ")</f>
        <v xml:space="preserve"> </v>
      </c>
      <c r="E256" t="str">
        <f>IFERROR(INDEX(registro!$A:$A, MATCH($A256, registro!F:F, 0))," ")</f>
        <v xml:space="preserve"> </v>
      </c>
      <c r="F256" t="str">
        <f>IFERROR(INDEX(registro!$A:$A, MATCH($A256, registro!G:G, 0))," ")</f>
        <v xml:space="preserve"> </v>
      </c>
      <c r="G256" t="str">
        <f>IFERROR(INDEX(registro!$A:$A, MATCH($A256, registro!H:H, 0))," ")</f>
        <v xml:space="preserve"> </v>
      </c>
    </row>
    <row r="257" spans="1:7" x14ac:dyDescent="0.25">
      <c r="A257" s="3">
        <v>46485</v>
      </c>
      <c r="B257" t="str">
        <f>IFERROR(INDEX(registro!$A:$A, MATCH($A257, registro!C:C, 0))," ")</f>
        <v xml:space="preserve"> </v>
      </c>
      <c r="C257" t="str">
        <f>IFERROR(INDEX(registro!$A:$A, MATCH($A257, registro!D:D, 0))," ")</f>
        <v xml:space="preserve"> </v>
      </c>
      <c r="D257" t="str">
        <f>IFERROR(INDEX(registro!$A:$A, MATCH($A257, registro!E:E, 0))," ")</f>
        <v xml:space="preserve"> </v>
      </c>
      <c r="E257" t="str">
        <f>IFERROR(INDEX(registro!$A:$A, MATCH($A257, registro!F:F, 0))," ")</f>
        <v xml:space="preserve"> </v>
      </c>
      <c r="F257" t="str">
        <f>IFERROR(INDEX(registro!$A:$A, MATCH($A257, registro!G:G, 0))," ")</f>
        <v xml:space="preserve"> </v>
      </c>
      <c r="G257" t="str">
        <f>IFERROR(INDEX(registro!$A:$A, MATCH($A257, registro!H:H, 0))," ")</f>
        <v xml:space="preserve"> </v>
      </c>
    </row>
    <row r="258" spans="1:7" x14ac:dyDescent="0.25">
      <c r="A258" s="3">
        <v>46486</v>
      </c>
      <c r="B258" t="str">
        <f>IFERROR(INDEX(registro!$A:$A, MATCH($A258, registro!C:C, 0))," ")</f>
        <v xml:space="preserve"> </v>
      </c>
      <c r="C258" t="str">
        <f>IFERROR(INDEX(registro!$A:$A, MATCH($A258, registro!D:D, 0))," ")</f>
        <v xml:space="preserve"> </v>
      </c>
      <c r="D258" t="str">
        <f>IFERROR(INDEX(registro!$A:$A, MATCH($A258, registro!E:E, 0))," ")</f>
        <v xml:space="preserve"> </v>
      </c>
      <c r="E258" t="str">
        <f>IFERROR(INDEX(registro!$A:$A, MATCH($A258, registro!F:F, 0))," ")</f>
        <v xml:space="preserve"> </v>
      </c>
      <c r="F258" t="str">
        <f>IFERROR(INDEX(registro!$A:$A, MATCH($A258, registro!G:G, 0))," ")</f>
        <v xml:space="preserve"> </v>
      </c>
      <c r="G258" t="str">
        <f>IFERROR(INDEX(registro!$A:$A, MATCH($A258, registro!H:H, 0))," ")</f>
        <v xml:space="preserve"> </v>
      </c>
    </row>
    <row r="259" spans="1:7" x14ac:dyDescent="0.25">
      <c r="A259" s="3">
        <v>46487</v>
      </c>
      <c r="B259" t="str">
        <f>IFERROR(INDEX(registro!$A:$A, MATCH($A259, registro!C:C, 0))," ")</f>
        <v xml:space="preserve"> </v>
      </c>
      <c r="C259" t="str">
        <f>IFERROR(INDEX(registro!$A:$A, MATCH($A259, registro!D:D, 0))," ")</f>
        <v xml:space="preserve"> </v>
      </c>
      <c r="D259" t="str">
        <f>IFERROR(INDEX(registro!$A:$A, MATCH($A259, registro!E:E, 0))," ")</f>
        <v xml:space="preserve"> </v>
      </c>
      <c r="E259" t="str">
        <f>IFERROR(INDEX(registro!$A:$A, MATCH($A259, registro!F:F, 0))," ")</f>
        <v xml:space="preserve"> </v>
      </c>
      <c r="F259" t="str">
        <f>IFERROR(INDEX(registro!$A:$A, MATCH($A259, registro!G:G, 0))," ")</f>
        <v xml:space="preserve"> </v>
      </c>
      <c r="G259" t="str">
        <f>IFERROR(INDEX(registro!$A:$A, MATCH($A259, registro!H:H, 0))," ")</f>
        <v xml:space="preserve"> </v>
      </c>
    </row>
    <row r="260" spans="1:7" x14ac:dyDescent="0.25">
      <c r="A260" s="3">
        <v>46488</v>
      </c>
      <c r="B260" t="str">
        <f>IFERROR(INDEX(registro!$A:$A, MATCH($A260, registro!C:C, 0))," ")</f>
        <v xml:space="preserve"> </v>
      </c>
      <c r="C260" t="str">
        <f>IFERROR(INDEX(registro!$A:$A, MATCH($A260, registro!D:D, 0))," ")</f>
        <v xml:space="preserve"> </v>
      </c>
      <c r="D260" t="str">
        <f>IFERROR(INDEX(registro!$A:$A, MATCH($A260, registro!E:E, 0))," ")</f>
        <v xml:space="preserve"> </v>
      </c>
      <c r="E260" t="str">
        <f>IFERROR(INDEX(registro!$A:$A, MATCH($A260, registro!F:F, 0))," ")</f>
        <v xml:space="preserve"> </v>
      </c>
      <c r="F260" t="str">
        <f>IFERROR(INDEX(registro!$A:$A, MATCH($A260, registro!G:G, 0))," ")</f>
        <v xml:space="preserve"> </v>
      </c>
      <c r="G260" t="str">
        <f>IFERROR(INDEX(registro!$A:$A, MATCH($A260, registro!H:H, 0))," ")</f>
        <v xml:space="preserve"> </v>
      </c>
    </row>
    <row r="261" spans="1:7" x14ac:dyDescent="0.25">
      <c r="A261" s="3">
        <v>46489</v>
      </c>
      <c r="B261" t="str">
        <f>IFERROR(INDEX(registro!$A:$A, MATCH($A261, registro!C:C, 0))," ")</f>
        <v xml:space="preserve"> </v>
      </c>
      <c r="C261" t="str">
        <f>IFERROR(INDEX(registro!$A:$A, MATCH($A261, registro!D:D, 0))," ")</f>
        <v xml:space="preserve"> </v>
      </c>
      <c r="D261" t="str">
        <f>IFERROR(INDEX(registro!$A:$A, MATCH($A261, registro!E:E, 0))," ")</f>
        <v xml:space="preserve"> </v>
      </c>
      <c r="E261" t="str">
        <f>IFERROR(INDEX(registro!$A:$A, MATCH($A261, registro!F:F, 0))," ")</f>
        <v xml:space="preserve"> </v>
      </c>
      <c r="F261" t="str">
        <f>IFERROR(INDEX(registro!$A:$A, MATCH($A261, registro!G:G, 0))," ")</f>
        <v xml:space="preserve"> </v>
      </c>
      <c r="G261" t="str">
        <f>IFERROR(INDEX(registro!$A:$A, MATCH($A261, registro!H:H, 0))," ")</f>
        <v xml:space="preserve"> </v>
      </c>
    </row>
    <row r="262" spans="1:7" x14ac:dyDescent="0.25">
      <c r="A262" s="3">
        <v>46490</v>
      </c>
      <c r="B262" t="str">
        <f>IFERROR(INDEX(registro!$A:$A, MATCH($A262, registro!C:C, 0))," ")</f>
        <v xml:space="preserve"> </v>
      </c>
      <c r="C262" t="str">
        <f>IFERROR(INDEX(registro!$A:$A, MATCH($A262, registro!D:D, 0))," ")</f>
        <v xml:space="preserve"> </v>
      </c>
      <c r="D262" t="str">
        <f>IFERROR(INDEX(registro!$A:$A, MATCH($A262, registro!E:E, 0))," ")</f>
        <v xml:space="preserve"> </v>
      </c>
      <c r="E262" t="str">
        <f>IFERROR(INDEX(registro!$A:$A, MATCH($A262, registro!F:F, 0))," ")</f>
        <v xml:space="preserve"> </v>
      </c>
      <c r="F262" t="str">
        <f>IFERROR(INDEX(registro!$A:$A, MATCH($A262, registro!G:G, 0))," ")</f>
        <v xml:space="preserve"> </v>
      </c>
      <c r="G262" t="str">
        <f>IFERROR(INDEX(registro!$A:$A, MATCH($A262, registro!H:H, 0))," ")</f>
        <v xml:space="preserve"> </v>
      </c>
    </row>
    <row r="263" spans="1:7" x14ac:dyDescent="0.25">
      <c r="A263" s="3">
        <v>46491</v>
      </c>
      <c r="B263" t="str">
        <f>IFERROR(INDEX(registro!$A:$A, MATCH($A263, registro!C:C, 0))," ")</f>
        <v xml:space="preserve"> </v>
      </c>
      <c r="C263" t="str">
        <f>IFERROR(INDEX(registro!$A:$A, MATCH($A263, registro!D:D, 0))," ")</f>
        <v xml:space="preserve"> </v>
      </c>
      <c r="D263" t="str">
        <f>IFERROR(INDEX(registro!$A:$A, MATCH($A263, registro!E:E, 0))," ")</f>
        <v xml:space="preserve"> </v>
      </c>
      <c r="E263" t="str">
        <f>IFERROR(INDEX(registro!$A:$A, MATCH($A263, registro!F:F, 0))," ")</f>
        <v xml:space="preserve"> </v>
      </c>
      <c r="F263" t="str">
        <f>IFERROR(INDEX(registro!$A:$A, MATCH($A263, registro!G:G, 0))," ")</f>
        <v xml:space="preserve"> </v>
      </c>
      <c r="G263" t="str">
        <f>IFERROR(INDEX(registro!$A:$A, MATCH($A263, registro!H:H, 0))," ")</f>
        <v xml:space="preserve"> </v>
      </c>
    </row>
    <row r="264" spans="1:7" x14ac:dyDescent="0.25">
      <c r="A264" s="3">
        <v>46492</v>
      </c>
      <c r="B264" t="str">
        <f>IFERROR(INDEX(registro!$A:$A, MATCH($A264, registro!C:C, 0))," ")</f>
        <v xml:space="preserve"> </v>
      </c>
      <c r="C264" t="str">
        <f>IFERROR(INDEX(registro!$A:$A, MATCH($A264, registro!D:D, 0))," ")</f>
        <v xml:space="preserve"> </v>
      </c>
      <c r="D264" t="str">
        <f>IFERROR(INDEX(registro!$A:$A, MATCH($A264, registro!E:E, 0))," ")</f>
        <v xml:space="preserve"> </v>
      </c>
      <c r="E264" t="str">
        <f>IFERROR(INDEX(registro!$A:$A, MATCH($A264, registro!F:F, 0))," ")</f>
        <v xml:space="preserve"> </v>
      </c>
      <c r="F264" t="str">
        <f>IFERROR(INDEX(registro!$A:$A, MATCH($A264, registro!G:G, 0))," ")</f>
        <v xml:space="preserve"> </v>
      </c>
      <c r="G264" t="str">
        <f>IFERROR(INDEX(registro!$A:$A, MATCH($A264, registro!H:H, 0))," ")</f>
        <v xml:space="preserve"> </v>
      </c>
    </row>
    <row r="265" spans="1:7" x14ac:dyDescent="0.25">
      <c r="A265" s="3">
        <v>46493</v>
      </c>
      <c r="B265" t="str">
        <f>IFERROR(INDEX(registro!$A:$A, MATCH($A265, registro!C:C, 0))," ")</f>
        <v xml:space="preserve"> </v>
      </c>
      <c r="C265" t="str">
        <f>IFERROR(INDEX(registro!$A:$A, MATCH($A265, registro!D:D, 0))," ")</f>
        <v xml:space="preserve"> </v>
      </c>
      <c r="D265" t="str">
        <f>IFERROR(INDEX(registro!$A:$A, MATCH($A265, registro!E:E, 0))," ")</f>
        <v xml:space="preserve"> </v>
      </c>
      <c r="E265" t="str">
        <f>IFERROR(INDEX(registro!$A:$A, MATCH($A265, registro!F:F, 0))," ")</f>
        <v xml:space="preserve"> </v>
      </c>
      <c r="F265" t="str">
        <f>IFERROR(INDEX(registro!$A:$A, MATCH($A265, registro!G:G, 0))," ")</f>
        <v xml:space="preserve"> </v>
      </c>
      <c r="G265" t="str">
        <f>IFERROR(INDEX(registro!$A:$A, MATCH($A265, registro!H:H, 0))," ")</f>
        <v xml:space="preserve"> </v>
      </c>
    </row>
    <row r="266" spans="1:7" x14ac:dyDescent="0.25">
      <c r="A266" s="3">
        <v>46494</v>
      </c>
      <c r="B266" t="str">
        <f>IFERROR(INDEX(registro!$A:$A, MATCH($A266, registro!C:C, 0))," ")</f>
        <v xml:space="preserve"> </v>
      </c>
      <c r="C266" t="str">
        <f>IFERROR(INDEX(registro!$A:$A, MATCH($A266, registro!D:D, 0))," ")</f>
        <v xml:space="preserve"> </v>
      </c>
      <c r="D266" t="str">
        <f>IFERROR(INDEX(registro!$A:$A, MATCH($A266, registro!E:E, 0))," ")</f>
        <v xml:space="preserve"> </v>
      </c>
      <c r="E266" t="str">
        <f>IFERROR(INDEX(registro!$A:$A, MATCH($A266, registro!F:F, 0))," ")</f>
        <v xml:space="preserve"> </v>
      </c>
      <c r="F266" t="str">
        <f>IFERROR(INDEX(registro!$A:$A, MATCH($A266, registro!G:G, 0))," ")</f>
        <v xml:space="preserve"> </v>
      </c>
      <c r="G266" t="str">
        <f>IFERROR(INDEX(registro!$A:$A, MATCH($A266, registro!H:H, 0))," ")</f>
        <v xml:space="preserve"> </v>
      </c>
    </row>
    <row r="267" spans="1:7" x14ac:dyDescent="0.25">
      <c r="A267" s="3">
        <v>46495</v>
      </c>
      <c r="B267" t="str">
        <f>IFERROR(INDEX(registro!$A:$A, MATCH($A267, registro!C:C, 0))," ")</f>
        <v xml:space="preserve"> </v>
      </c>
      <c r="C267" t="str">
        <f>IFERROR(INDEX(registro!$A:$A, MATCH($A267, registro!D:D, 0))," ")</f>
        <v xml:space="preserve"> </v>
      </c>
      <c r="D267" t="str">
        <f>IFERROR(INDEX(registro!$A:$A, MATCH($A267, registro!E:E, 0))," ")</f>
        <v xml:space="preserve"> </v>
      </c>
      <c r="E267" t="str">
        <f>IFERROR(INDEX(registro!$A:$A, MATCH($A267, registro!F:F, 0))," ")</f>
        <v xml:space="preserve"> </v>
      </c>
      <c r="F267" t="str">
        <f>IFERROR(INDEX(registro!$A:$A, MATCH($A267, registro!G:G, 0))," ")</f>
        <v xml:space="preserve"> </v>
      </c>
      <c r="G267" t="str">
        <f>IFERROR(INDEX(registro!$A:$A, MATCH($A267, registro!H:H, 0))," ")</f>
        <v xml:space="preserve"> </v>
      </c>
    </row>
    <row r="268" spans="1:7" x14ac:dyDescent="0.25">
      <c r="A268" s="3">
        <v>46496</v>
      </c>
      <c r="B268" t="str">
        <f>IFERROR(INDEX(registro!$A:$A, MATCH($A268, registro!C:C, 0))," ")</f>
        <v xml:space="preserve"> </v>
      </c>
      <c r="C268" t="str">
        <f>IFERROR(INDEX(registro!$A:$A, MATCH($A268, registro!D:D, 0))," ")</f>
        <v xml:space="preserve"> </v>
      </c>
      <c r="D268" t="str">
        <f>IFERROR(INDEX(registro!$A:$A, MATCH($A268, registro!E:E, 0))," ")</f>
        <v xml:space="preserve"> </v>
      </c>
      <c r="E268" t="str">
        <f>IFERROR(INDEX(registro!$A:$A, MATCH($A268, registro!F:F, 0))," ")</f>
        <v xml:space="preserve"> </v>
      </c>
      <c r="F268" t="str">
        <f>IFERROR(INDEX(registro!$A:$A, MATCH($A268, registro!G:G, 0))," ")</f>
        <v xml:space="preserve"> </v>
      </c>
      <c r="G268" t="str">
        <f>IFERROR(INDEX(registro!$A:$A, MATCH($A268, registro!H:H, 0))," ")</f>
        <v xml:space="preserve"> </v>
      </c>
    </row>
    <row r="269" spans="1:7" x14ac:dyDescent="0.25">
      <c r="A269" s="3">
        <v>46497</v>
      </c>
      <c r="B269" t="str">
        <f>IFERROR(INDEX(registro!$A:$A, MATCH($A269, registro!C:C, 0))," ")</f>
        <v xml:space="preserve"> </v>
      </c>
      <c r="C269" t="str">
        <f>IFERROR(INDEX(registro!$A:$A, MATCH($A269, registro!D:D, 0))," ")</f>
        <v xml:space="preserve"> </v>
      </c>
      <c r="D269" t="str">
        <f>IFERROR(INDEX(registro!$A:$A, MATCH($A269, registro!E:E, 0))," ")</f>
        <v xml:space="preserve"> </v>
      </c>
      <c r="E269" t="str">
        <f>IFERROR(INDEX(registro!$A:$A, MATCH($A269, registro!F:F, 0))," ")</f>
        <v xml:space="preserve"> </v>
      </c>
      <c r="F269" t="str">
        <f>IFERROR(INDEX(registro!$A:$A, MATCH($A269, registro!G:G, 0))," ")</f>
        <v xml:space="preserve"> </v>
      </c>
      <c r="G269" t="str">
        <f>IFERROR(INDEX(registro!$A:$A, MATCH($A269, registro!H:H, 0))," ")</f>
        <v xml:space="preserve"> </v>
      </c>
    </row>
    <row r="270" spans="1:7" x14ac:dyDescent="0.25">
      <c r="A270" s="3">
        <v>46498</v>
      </c>
      <c r="B270" t="str">
        <f>IFERROR(INDEX(registro!$A:$A, MATCH($A270, registro!C:C, 0))," ")</f>
        <v xml:space="preserve"> </v>
      </c>
      <c r="C270" t="str">
        <f>IFERROR(INDEX(registro!$A:$A, MATCH($A270, registro!D:D, 0))," ")</f>
        <v xml:space="preserve"> </v>
      </c>
      <c r="D270" t="str">
        <f>IFERROR(INDEX(registro!$A:$A, MATCH($A270, registro!E:E, 0))," ")</f>
        <v xml:space="preserve"> </v>
      </c>
      <c r="E270" t="str">
        <f>IFERROR(INDEX(registro!$A:$A, MATCH($A270, registro!F:F, 0))," ")</f>
        <v xml:space="preserve"> </v>
      </c>
      <c r="F270" t="str">
        <f>IFERROR(INDEX(registro!$A:$A, MATCH($A270, registro!G:G, 0))," ")</f>
        <v xml:space="preserve"> </v>
      </c>
      <c r="G270" t="str">
        <f>IFERROR(INDEX(registro!$A:$A, MATCH($A270, registro!H:H, 0))," ")</f>
        <v xml:space="preserve"> </v>
      </c>
    </row>
    <row r="271" spans="1:7" x14ac:dyDescent="0.25">
      <c r="A271" s="3">
        <v>46499</v>
      </c>
      <c r="B271" t="str">
        <f>IFERROR(INDEX(registro!$A:$A, MATCH($A271, registro!C:C, 0))," ")</f>
        <v xml:space="preserve"> </v>
      </c>
      <c r="C271" t="str">
        <f>IFERROR(INDEX(registro!$A:$A, MATCH($A271, registro!D:D, 0))," ")</f>
        <v xml:space="preserve"> </v>
      </c>
      <c r="D271" t="str">
        <f>IFERROR(INDEX(registro!$A:$A, MATCH($A271, registro!E:E, 0))," ")</f>
        <v xml:space="preserve"> </v>
      </c>
      <c r="E271" t="str">
        <f>IFERROR(INDEX(registro!$A:$A, MATCH($A271, registro!F:F, 0))," ")</f>
        <v xml:space="preserve"> </v>
      </c>
      <c r="F271" t="str">
        <f>IFERROR(INDEX(registro!$A:$A, MATCH($A271, registro!G:G, 0))," ")</f>
        <v xml:space="preserve"> </v>
      </c>
      <c r="G271" t="str">
        <f>IFERROR(INDEX(registro!$A:$A, MATCH($A271, registro!H:H, 0))," ")</f>
        <v xml:space="preserve"> </v>
      </c>
    </row>
    <row r="272" spans="1:7" x14ac:dyDescent="0.25">
      <c r="A272" s="3">
        <v>46500</v>
      </c>
      <c r="B272" t="str">
        <f>IFERROR(INDEX(registro!$A:$A, MATCH($A272, registro!C:C, 0))," ")</f>
        <v xml:space="preserve"> </v>
      </c>
      <c r="C272" t="str">
        <f>IFERROR(INDEX(registro!$A:$A, MATCH($A272, registro!D:D, 0))," ")</f>
        <v xml:space="preserve"> </v>
      </c>
      <c r="D272" t="str">
        <f>IFERROR(INDEX(registro!$A:$A, MATCH($A272, registro!E:E, 0))," ")</f>
        <v xml:space="preserve"> </v>
      </c>
      <c r="E272" t="str">
        <f>IFERROR(INDEX(registro!$A:$A, MATCH($A272, registro!F:F, 0))," ")</f>
        <v xml:space="preserve"> </v>
      </c>
      <c r="F272" t="str">
        <f>IFERROR(INDEX(registro!$A:$A, MATCH($A272, registro!G:G, 0))," ")</f>
        <v xml:space="preserve"> </v>
      </c>
      <c r="G272" t="str">
        <f>IFERROR(INDEX(registro!$A:$A, MATCH($A272, registro!H:H, 0))," ")</f>
        <v xml:space="preserve"> </v>
      </c>
    </row>
    <row r="273" spans="1:7" x14ac:dyDescent="0.25">
      <c r="A273" s="3">
        <v>46501</v>
      </c>
      <c r="B273" t="str">
        <f>IFERROR(INDEX(registro!$A:$A, MATCH($A273, registro!C:C, 0))," ")</f>
        <v xml:space="preserve"> </v>
      </c>
      <c r="C273" t="str">
        <f>IFERROR(INDEX(registro!$A:$A, MATCH($A273, registro!D:D, 0))," ")</f>
        <v xml:space="preserve"> </v>
      </c>
      <c r="D273" t="str">
        <f>IFERROR(INDEX(registro!$A:$A, MATCH($A273, registro!E:E, 0))," ")</f>
        <v xml:space="preserve"> </v>
      </c>
      <c r="E273" t="str">
        <f>IFERROR(INDEX(registro!$A:$A, MATCH($A273, registro!F:F, 0))," ")</f>
        <v xml:space="preserve"> </v>
      </c>
      <c r="F273" t="str">
        <f>IFERROR(INDEX(registro!$A:$A, MATCH($A273, registro!G:G, 0))," ")</f>
        <v xml:space="preserve"> </v>
      </c>
      <c r="G273" t="str">
        <f>IFERROR(INDEX(registro!$A:$A, MATCH($A273, registro!H:H, 0))," ")</f>
        <v xml:space="preserve"> </v>
      </c>
    </row>
    <row r="274" spans="1:7" x14ac:dyDescent="0.25">
      <c r="A274" s="3">
        <v>46502</v>
      </c>
      <c r="B274" t="str">
        <f>IFERROR(INDEX(registro!$A:$A, MATCH($A274, registro!C:C, 0))," ")</f>
        <v xml:space="preserve"> </v>
      </c>
      <c r="C274" t="str">
        <f>IFERROR(INDEX(registro!$A:$A, MATCH($A274, registro!D:D, 0))," ")</f>
        <v xml:space="preserve"> </v>
      </c>
      <c r="D274" t="str">
        <f>IFERROR(INDEX(registro!$A:$A, MATCH($A274, registro!E:E, 0))," ")</f>
        <v xml:space="preserve"> </v>
      </c>
      <c r="E274" t="str">
        <f>IFERROR(INDEX(registro!$A:$A, MATCH($A274, registro!F:F, 0))," ")</f>
        <v xml:space="preserve"> </v>
      </c>
      <c r="F274" t="str">
        <f>IFERROR(INDEX(registro!$A:$A, MATCH($A274, registro!G:G, 0))," ")</f>
        <v xml:space="preserve"> </v>
      </c>
      <c r="G274" t="str">
        <f>IFERROR(INDEX(registro!$A:$A, MATCH($A274, registro!H:H, 0))," ")</f>
        <v xml:space="preserve"> </v>
      </c>
    </row>
    <row r="275" spans="1:7" x14ac:dyDescent="0.25">
      <c r="A275" s="3">
        <v>46503</v>
      </c>
      <c r="B275" t="str">
        <f>IFERROR(INDEX(registro!$A:$A, MATCH($A275, registro!C:C, 0))," ")</f>
        <v xml:space="preserve"> </v>
      </c>
      <c r="C275" t="str">
        <f>IFERROR(INDEX(registro!$A:$A, MATCH($A275, registro!D:D, 0))," ")</f>
        <v xml:space="preserve"> </v>
      </c>
      <c r="D275" t="str">
        <f>IFERROR(INDEX(registro!$A:$A, MATCH($A275, registro!E:E, 0))," ")</f>
        <v xml:space="preserve"> </v>
      </c>
      <c r="E275" t="str">
        <f>IFERROR(INDEX(registro!$A:$A, MATCH($A275, registro!F:F, 0))," ")</f>
        <v xml:space="preserve"> </v>
      </c>
      <c r="F275" t="str">
        <f>IFERROR(INDEX(registro!$A:$A, MATCH($A275, registro!G:G, 0))," ")</f>
        <v xml:space="preserve"> </v>
      </c>
      <c r="G275" t="str">
        <f>IFERROR(INDEX(registro!$A:$A, MATCH($A275, registro!H:H, 0))," ")</f>
        <v xml:space="preserve"> </v>
      </c>
    </row>
    <row r="276" spans="1:7" x14ac:dyDescent="0.25">
      <c r="A276" s="3">
        <v>46504</v>
      </c>
      <c r="B276" t="str">
        <f>IFERROR(INDEX(registro!$A:$A, MATCH($A276, registro!C:C, 0))," ")</f>
        <v xml:space="preserve"> </v>
      </c>
      <c r="C276" t="str">
        <f>IFERROR(INDEX(registro!$A:$A, MATCH($A276, registro!D:D, 0))," ")</f>
        <v xml:space="preserve"> </v>
      </c>
      <c r="D276" t="str">
        <f>IFERROR(INDEX(registro!$A:$A, MATCH($A276, registro!E:E, 0))," ")</f>
        <v xml:space="preserve"> </v>
      </c>
      <c r="E276" t="str">
        <f>IFERROR(INDEX(registro!$A:$A, MATCH($A276, registro!F:F, 0))," ")</f>
        <v xml:space="preserve"> </v>
      </c>
      <c r="F276" t="str">
        <f>IFERROR(INDEX(registro!$A:$A, MATCH($A276, registro!G:G, 0))," ")</f>
        <v xml:space="preserve"> </v>
      </c>
      <c r="G276" t="str">
        <f>IFERROR(INDEX(registro!$A:$A, MATCH($A276, registro!H:H, 0))," ")</f>
        <v xml:space="preserve"> </v>
      </c>
    </row>
    <row r="277" spans="1:7" x14ac:dyDescent="0.25">
      <c r="A277" s="3">
        <v>46505</v>
      </c>
      <c r="B277" t="str">
        <f>IFERROR(INDEX(registro!$A:$A, MATCH($A277, registro!C:C, 0))," ")</f>
        <v xml:space="preserve"> </v>
      </c>
      <c r="C277" t="str">
        <f>IFERROR(INDEX(registro!$A:$A, MATCH($A277, registro!D:D, 0))," ")</f>
        <v xml:space="preserve"> </v>
      </c>
      <c r="D277" t="str">
        <f>IFERROR(INDEX(registro!$A:$A, MATCH($A277, registro!E:E, 0))," ")</f>
        <v xml:space="preserve"> </v>
      </c>
      <c r="E277" t="str">
        <f>IFERROR(INDEX(registro!$A:$A, MATCH($A277, registro!F:F, 0))," ")</f>
        <v xml:space="preserve"> </v>
      </c>
      <c r="F277" t="str">
        <f>IFERROR(INDEX(registro!$A:$A, MATCH($A277, registro!G:G, 0))," ")</f>
        <v xml:space="preserve"> </v>
      </c>
      <c r="G277" t="str">
        <f>IFERROR(INDEX(registro!$A:$A, MATCH($A277, registro!H:H, 0))," ")</f>
        <v xml:space="preserve"> </v>
      </c>
    </row>
    <row r="278" spans="1:7" x14ac:dyDescent="0.25">
      <c r="A278" s="3">
        <v>46506</v>
      </c>
      <c r="B278" t="str">
        <f>IFERROR(INDEX(registro!$A:$A, MATCH($A278, registro!C:C, 0))," ")</f>
        <v xml:space="preserve"> </v>
      </c>
      <c r="C278" t="str">
        <f>IFERROR(INDEX(registro!$A:$A, MATCH($A278, registro!D:D, 0))," ")</f>
        <v xml:space="preserve"> </v>
      </c>
      <c r="D278" t="str">
        <f>IFERROR(INDEX(registro!$A:$A, MATCH($A278, registro!E:E, 0))," ")</f>
        <v xml:space="preserve"> </v>
      </c>
      <c r="E278" t="str">
        <f>IFERROR(INDEX(registro!$A:$A, MATCH($A278, registro!F:F, 0))," ")</f>
        <v xml:space="preserve"> </v>
      </c>
      <c r="F278" t="str">
        <f>IFERROR(INDEX(registro!$A:$A, MATCH($A278, registro!G:G, 0))," ")</f>
        <v xml:space="preserve"> </v>
      </c>
      <c r="G278" t="str">
        <f>IFERROR(INDEX(registro!$A:$A, MATCH($A278, registro!H:H, 0))," ")</f>
        <v xml:space="preserve"> </v>
      </c>
    </row>
    <row r="279" spans="1:7" x14ac:dyDescent="0.25">
      <c r="A279" s="3">
        <v>46507</v>
      </c>
      <c r="B279" t="str">
        <f>IFERROR(INDEX(registro!$A:$A, MATCH($A279, registro!C:C, 0))," ")</f>
        <v xml:space="preserve"> </v>
      </c>
      <c r="C279" t="str">
        <f>IFERROR(INDEX(registro!$A:$A, MATCH($A279, registro!D:D, 0))," ")</f>
        <v xml:space="preserve"> </v>
      </c>
      <c r="D279" t="str">
        <f>IFERROR(INDEX(registro!$A:$A, MATCH($A279, registro!E:E, 0))," ")</f>
        <v xml:space="preserve"> </v>
      </c>
      <c r="E279" t="str">
        <f>IFERROR(INDEX(registro!$A:$A, MATCH($A279, registro!F:F, 0))," ")</f>
        <v xml:space="preserve"> </v>
      </c>
      <c r="F279" t="str">
        <f>IFERROR(INDEX(registro!$A:$A, MATCH($A279, registro!G:G, 0))," ")</f>
        <v xml:space="preserve"> </v>
      </c>
      <c r="G279" t="str">
        <f>IFERROR(INDEX(registro!$A:$A, MATCH($A279, registro!H:H, 0))," ")</f>
        <v xml:space="preserve"> </v>
      </c>
    </row>
    <row r="280" spans="1:7" x14ac:dyDescent="0.25">
      <c r="A280" s="3">
        <v>46508</v>
      </c>
      <c r="B280" t="str">
        <f>IFERROR(INDEX(registro!$A:$A, MATCH($A280, registro!C:C, 0))," ")</f>
        <v xml:space="preserve"> </v>
      </c>
      <c r="C280" t="str">
        <f>IFERROR(INDEX(registro!$A:$A, MATCH($A280, registro!D:D, 0))," ")</f>
        <v xml:space="preserve"> </v>
      </c>
      <c r="D280" t="str">
        <f>IFERROR(INDEX(registro!$A:$A, MATCH($A280, registro!E:E, 0))," ")</f>
        <v xml:space="preserve"> </v>
      </c>
      <c r="E280" t="str">
        <f>IFERROR(INDEX(registro!$A:$A, MATCH($A280, registro!F:F, 0))," ")</f>
        <v xml:space="preserve"> </v>
      </c>
      <c r="F280" t="str">
        <f>IFERROR(INDEX(registro!$A:$A, MATCH($A280, registro!G:G, 0))," ")</f>
        <v xml:space="preserve"> </v>
      </c>
      <c r="G280" t="str">
        <f>IFERROR(INDEX(registro!$A:$A, MATCH($A280, registro!H:H, 0))," ")</f>
        <v xml:space="preserve"> </v>
      </c>
    </row>
    <row r="281" spans="1:7" x14ac:dyDescent="0.25">
      <c r="A281" s="3">
        <v>46509</v>
      </c>
      <c r="B281" t="str">
        <f>IFERROR(INDEX(registro!$A:$A, MATCH($A281, registro!C:C, 0))," ")</f>
        <v xml:space="preserve"> </v>
      </c>
      <c r="C281" t="str">
        <f>IFERROR(INDEX(registro!$A:$A, MATCH($A281, registro!D:D, 0))," ")</f>
        <v xml:space="preserve"> </v>
      </c>
      <c r="D281" t="str">
        <f>IFERROR(INDEX(registro!$A:$A, MATCH($A281, registro!E:E, 0))," ")</f>
        <v xml:space="preserve"> </v>
      </c>
      <c r="E281" t="str">
        <f>IFERROR(INDEX(registro!$A:$A, MATCH($A281, registro!F:F, 0))," ")</f>
        <v xml:space="preserve"> </v>
      </c>
      <c r="F281" t="str">
        <f>IFERROR(INDEX(registro!$A:$A, MATCH($A281, registro!G:G, 0))," ")</f>
        <v xml:space="preserve"> </v>
      </c>
      <c r="G281" t="str">
        <f>IFERROR(INDEX(registro!$A:$A, MATCH($A281, registro!H:H, 0))," ")</f>
        <v xml:space="preserve"> </v>
      </c>
    </row>
    <row r="282" spans="1:7" x14ac:dyDescent="0.25">
      <c r="A282" s="3">
        <v>46510</v>
      </c>
      <c r="B282" t="str">
        <f>IFERROR(INDEX(registro!$A:$A, MATCH($A282, registro!C:C, 0))," ")</f>
        <v xml:space="preserve"> </v>
      </c>
      <c r="C282" t="str">
        <f>IFERROR(INDEX(registro!$A:$A, MATCH($A282, registro!D:D, 0))," ")</f>
        <v xml:space="preserve"> </v>
      </c>
      <c r="D282" t="str">
        <f>IFERROR(INDEX(registro!$A:$A, MATCH($A282, registro!E:E, 0))," ")</f>
        <v xml:space="preserve"> </v>
      </c>
      <c r="E282" t="str">
        <f>IFERROR(INDEX(registro!$A:$A, MATCH($A282, registro!F:F, 0))," ")</f>
        <v xml:space="preserve"> </v>
      </c>
      <c r="F282" t="str">
        <f>IFERROR(INDEX(registro!$A:$A, MATCH($A282, registro!G:G, 0))," ")</f>
        <v xml:space="preserve"> </v>
      </c>
      <c r="G282" t="str">
        <f>IFERROR(INDEX(registro!$A:$A, MATCH($A282, registro!H:H, 0))," ")</f>
        <v xml:space="preserve"> </v>
      </c>
    </row>
    <row r="283" spans="1:7" x14ac:dyDescent="0.25">
      <c r="A283" s="3">
        <v>46511</v>
      </c>
      <c r="B283" t="str">
        <f>IFERROR(INDEX(registro!$A:$A, MATCH($A283, registro!C:C, 0))," ")</f>
        <v xml:space="preserve"> </v>
      </c>
      <c r="C283" t="str">
        <f>IFERROR(INDEX(registro!$A:$A, MATCH($A283, registro!D:D, 0))," ")</f>
        <v xml:space="preserve"> </v>
      </c>
      <c r="D283" t="str">
        <f>IFERROR(INDEX(registro!$A:$A, MATCH($A283, registro!E:E, 0))," ")</f>
        <v xml:space="preserve"> </v>
      </c>
      <c r="E283" t="str">
        <f>IFERROR(INDEX(registro!$A:$A, MATCH($A283, registro!F:F, 0))," ")</f>
        <v xml:space="preserve"> </v>
      </c>
      <c r="F283" t="str">
        <f>IFERROR(INDEX(registro!$A:$A, MATCH($A283, registro!G:G, 0))," ")</f>
        <v xml:space="preserve"> </v>
      </c>
      <c r="G283" t="str">
        <f>IFERROR(INDEX(registro!$A:$A, MATCH($A283, registro!H:H, 0))," ")</f>
        <v xml:space="preserve"> </v>
      </c>
    </row>
    <row r="284" spans="1:7" x14ac:dyDescent="0.25">
      <c r="A284" s="3">
        <v>46512</v>
      </c>
      <c r="B284" t="str">
        <f>IFERROR(INDEX(registro!$A:$A, MATCH($A284, registro!C:C, 0))," ")</f>
        <v xml:space="preserve"> </v>
      </c>
      <c r="C284" t="str">
        <f>IFERROR(INDEX(registro!$A:$A, MATCH($A284, registro!D:D, 0))," ")</f>
        <v xml:space="preserve"> </v>
      </c>
      <c r="D284" t="str">
        <f>IFERROR(INDEX(registro!$A:$A, MATCH($A284, registro!E:E, 0))," ")</f>
        <v xml:space="preserve"> </v>
      </c>
      <c r="E284" t="str">
        <f>IFERROR(INDEX(registro!$A:$A, MATCH($A284, registro!F:F, 0))," ")</f>
        <v xml:space="preserve"> </v>
      </c>
      <c r="F284" t="str">
        <f>IFERROR(INDEX(registro!$A:$A, MATCH($A284, registro!G:G, 0))," ")</f>
        <v xml:space="preserve"> </v>
      </c>
      <c r="G284" t="str">
        <f>IFERROR(INDEX(registro!$A:$A, MATCH($A284, registro!H:H, 0))," ")</f>
        <v xml:space="preserve"> </v>
      </c>
    </row>
    <row r="285" spans="1:7" x14ac:dyDescent="0.25">
      <c r="A285" s="3">
        <v>46513</v>
      </c>
      <c r="B285" t="str">
        <f>IFERROR(INDEX(registro!$A:$A, MATCH($A285, registro!C:C, 0))," ")</f>
        <v xml:space="preserve"> </v>
      </c>
      <c r="C285" t="str">
        <f>IFERROR(INDEX(registro!$A:$A, MATCH($A285, registro!D:D, 0))," ")</f>
        <v xml:space="preserve"> </v>
      </c>
      <c r="D285" t="str">
        <f>IFERROR(INDEX(registro!$A:$A, MATCH($A285, registro!E:E, 0))," ")</f>
        <v xml:space="preserve"> </v>
      </c>
      <c r="E285" t="str">
        <f>IFERROR(INDEX(registro!$A:$A, MATCH($A285, registro!F:F, 0))," ")</f>
        <v xml:space="preserve"> </v>
      </c>
      <c r="F285" t="str">
        <f>IFERROR(INDEX(registro!$A:$A, MATCH($A285, registro!G:G, 0))," ")</f>
        <v xml:space="preserve"> </v>
      </c>
      <c r="G285" t="str">
        <f>IFERROR(INDEX(registro!$A:$A, MATCH($A285, registro!H:H, 0))," ")</f>
        <v xml:space="preserve"> </v>
      </c>
    </row>
    <row r="286" spans="1:7" x14ac:dyDescent="0.25">
      <c r="A286" s="3">
        <v>46514</v>
      </c>
      <c r="B286" t="str">
        <f>IFERROR(INDEX(registro!$A:$A, MATCH($A286, registro!C:C, 0))," ")</f>
        <v xml:space="preserve"> </v>
      </c>
      <c r="C286" t="str">
        <f>IFERROR(INDEX(registro!$A:$A, MATCH($A286, registro!D:D, 0))," ")</f>
        <v xml:space="preserve"> </v>
      </c>
      <c r="D286" t="str">
        <f>IFERROR(INDEX(registro!$A:$A, MATCH($A286, registro!E:E, 0))," ")</f>
        <v xml:space="preserve"> </v>
      </c>
      <c r="E286" t="str">
        <f>IFERROR(INDEX(registro!$A:$A, MATCH($A286, registro!F:F, 0))," ")</f>
        <v xml:space="preserve"> </v>
      </c>
      <c r="F286" t="str">
        <f>IFERROR(INDEX(registro!$A:$A, MATCH($A286, registro!G:G, 0))," ")</f>
        <v xml:space="preserve"> </v>
      </c>
      <c r="G286" t="str">
        <f>IFERROR(INDEX(registro!$A:$A, MATCH($A286, registro!H:H, 0))," ")</f>
        <v xml:space="preserve"> </v>
      </c>
    </row>
    <row r="287" spans="1:7" x14ac:dyDescent="0.25">
      <c r="A287" s="3">
        <v>46515</v>
      </c>
      <c r="B287" t="str">
        <f>IFERROR(INDEX(registro!$A:$A, MATCH($A287, registro!C:C, 0))," ")</f>
        <v xml:space="preserve"> </v>
      </c>
      <c r="C287" t="str">
        <f>IFERROR(INDEX(registro!$A:$A, MATCH($A287, registro!D:D, 0))," ")</f>
        <v xml:space="preserve"> </v>
      </c>
      <c r="D287" t="str">
        <f>IFERROR(INDEX(registro!$A:$A, MATCH($A287, registro!E:E, 0))," ")</f>
        <v xml:space="preserve"> </v>
      </c>
      <c r="E287" t="str">
        <f>IFERROR(INDEX(registro!$A:$A, MATCH($A287, registro!F:F, 0))," ")</f>
        <v xml:space="preserve"> </v>
      </c>
      <c r="F287" t="str">
        <f>IFERROR(INDEX(registro!$A:$A, MATCH($A287, registro!G:G, 0))," ")</f>
        <v xml:space="preserve"> </v>
      </c>
      <c r="G287" t="str">
        <f>IFERROR(INDEX(registro!$A:$A, MATCH($A287, registro!H:H, 0))," ")</f>
        <v xml:space="preserve"> </v>
      </c>
    </row>
    <row r="288" spans="1:7" x14ac:dyDescent="0.25">
      <c r="A288" s="3">
        <v>46516</v>
      </c>
      <c r="B288" t="str">
        <f>IFERROR(INDEX(registro!$A:$A, MATCH($A288, registro!C:C, 0))," ")</f>
        <v xml:space="preserve"> </v>
      </c>
      <c r="C288" t="str">
        <f>IFERROR(INDEX(registro!$A:$A, MATCH($A288, registro!D:D, 0))," ")</f>
        <v xml:space="preserve"> </v>
      </c>
      <c r="D288" t="str">
        <f>IFERROR(INDEX(registro!$A:$A, MATCH($A288, registro!E:E, 0))," ")</f>
        <v xml:space="preserve"> </v>
      </c>
      <c r="E288" t="str">
        <f>IFERROR(INDEX(registro!$A:$A, MATCH($A288, registro!F:F, 0))," ")</f>
        <v xml:space="preserve"> </v>
      </c>
      <c r="F288" t="str">
        <f>IFERROR(INDEX(registro!$A:$A, MATCH($A288, registro!G:G, 0))," ")</f>
        <v xml:space="preserve"> </v>
      </c>
      <c r="G288" t="str">
        <f>IFERROR(INDEX(registro!$A:$A, MATCH($A288, registro!H:H, 0))," ")</f>
        <v xml:space="preserve"> </v>
      </c>
    </row>
    <row r="289" spans="1:7" x14ac:dyDescent="0.25">
      <c r="A289" s="3">
        <v>46517</v>
      </c>
      <c r="B289" t="str">
        <f>IFERROR(INDEX(registro!$A:$A, MATCH($A289, registro!C:C, 0))," ")</f>
        <v xml:space="preserve"> </v>
      </c>
      <c r="C289" t="str">
        <f>IFERROR(INDEX(registro!$A:$A, MATCH($A289, registro!D:D, 0))," ")</f>
        <v xml:space="preserve"> </v>
      </c>
      <c r="D289" t="str">
        <f>IFERROR(INDEX(registro!$A:$A, MATCH($A289, registro!E:E, 0))," ")</f>
        <v xml:space="preserve"> </v>
      </c>
      <c r="E289" t="str">
        <f>IFERROR(INDEX(registro!$A:$A, MATCH($A289, registro!F:F, 0))," ")</f>
        <v xml:space="preserve"> </v>
      </c>
      <c r="F289" t="str">
        <f>IFERROR(INDEX(registro!$A:$A, MATCH($A289, registro!G:G, 0))," ")</f>
        <v xml:space="preserve"> </v>
      </c>
      <c r="G289" t="str">
        <f>IFERROR(INDEX(registro!$A:$A, MATCH($A289, registro!H:H, 0))," ")</f>
        <v xml:space="preserve"> </v>
      </c>
    </row>
    <row r="290" spans="1:7" x14ac:dyDescent="0.25">
      <c r="A290" s="3">
        <v>46518</v>
      </c>
      <c r="B290" t="str">
        <f>IFERROR(INDEX(registro!$A:$A, MATCH($A290, registro!C:C, 0))," ")</f>
        <v xml:space="preserve"> </v>
      </c>
      <c r="C290" t="str">
        <f>IFERROR(INDEX(registro!$A:$A, MATCH($A290, registro!D:D, 0))," ")</f>
        <v xml:space="preserve"> </v>
      </c>
      <c r="D290" t="str">
        <f>IFERROR(INDEX(registro!$A:$A, MATCH($A290, registro!E:E, 0))," ")</f>
        <v xml:space="preserve"> </v>
      </c>
      <c r="E290" t="str">
        <f>IFERROR(INDEX(registro!$A:$A, MATCH($A290, registro!F:F, 0))," ")</f>
        <v xml:space="preserve"> </v>
      </c>
      <c r="F290" t="str">
        <f>IFERROR(INDEX(registro!$A:$A, MATCH($A290, registro!G:G, 0))," ")</f>
        <v xml:space="preserve"> </v>
      </c>
      <c r="G290" t="str">
        <f>IFERROR(INDEX(registro!$A:$A, MATCH($A290, registro!H:H, 0))," ")</f>
        <v xml:space="preserve"> </v>
      </c>
    </row>
    <row r="291" spans="1:7" x14ac:dyDescent="0.25">
      <c r="A291" s="3">
        <v>46519</v>
      </c>
      <c r="B291" t="str">
        <f>IFERROR(INDEX(registro!$A:$A, MATCH($A291, registro!C:C, 0))," ")</f>
        <v xml:space="preserve"> </v>
      </c>
      <c r="C291" t="str">
        <f>IFERROR(INDEX(registro!$A:$A, MATCH($A291, registro!D:D, 0))," ")</f>
        <v xml:space="preserve"> </v>
      </c>
      <c r="D291" t="str">
        <f>IFERROR(INDEX(registro!$A:$A, MATCH($A291, registro!E:E, 0))," ")</f>
        <v xml:space="preserve"> </v>
      </c>
      <c r="E291" t="str">
        <f>IFERROR(INDEX(registro!$A:$A, MATCH($A291, registro!F:F, 0))," ")</f>
        <v xml:space="preserve"> </v>
      </c>
      <c r="F291" t="str">
        <f>IFERROR(INDEX(registro!$A:$A, MATCH($A291, registro!G:G, 0))," ")</f>
        <v xml:space="preserve"> </v>
      </c>
      <c r="G291" t="str">
        <f>IFERROR(INDEX(registro!$A:$A, MATCH($A291, registro!H:H, 0))," ")</f>
        <v xml:space="preserve"> </v>
      </c>
    </row>
    <row r="292" spans="1:7" x14ac:dyDescent="0.25">
      <c r="A292" s="3">
        <v>46520</v>
      </c>
      <c r="B292" t="str">
        <f>IFERROR(INDEX(registro!$A:$A, MATCH($A292, registro!C:C, 0))," ")</f>
        <v xml:space="preserve"> </v>
      </c>
      <c r="C292" t="str">
        <f>IFERROR(INDEX(registro!$A:$A, MATCH($A292, registro!D:D, 0))," ")</f>
        <v xml:space="preserve"> </v>
      </c>
      <c r="D292" t="str">
        <f>IFERROR(INDEX(registro!$A:$A, MATCH($A292, registro!E:E, 0))," ")</f>
        <v xml:space="preserve"> </v>
      </c>
      <c r="E292" t="str">
        <f>IFERROR(INDEX(registro!$A:$A, MATCH($A292, registro!F:F, 0))," ")</f>
        <v xml:space="preserve"> </v>
      </c>
      <c r="F292" t="str">
        <f>IFERROR(INDEX(registro!$A:$A, MATCH($A292, registro!G:G, 0))," ")</f>
        <v xml:space="preserve"> </v>
      </c>
      <c r="G292" t="str">
        <f>IFERROR(INDEX(registro!$A:$A, MATCH($A292, registro!H:H, 0))," ")</f>
        <v xml:space="preserve"> </v>
      </c>
    </row>
    <row r="293" spans="1:7" x14ac:dyDescent="0.25">
      <c r="A293" s="3">
        <v>46521</v>
      </c>
      <c r="B293" t="str">
        <f>IFERROR(INDEX(registro!$A:$A, MATCH($A293, registro!C:C, 0))," ")</f>
        <v xml:space="preserve"> </v>
      </c>
      <c r="C293" t="str">
        <f>IFERROR(INDEX(registro!$A:$A, MATCH($A293, registro!D:D, 0))," ")</f>
        <v xml:space="preserve"> </v>
      </c>
      <c r="D293" t="str">
        <f>IFERROR(INDEX(registro!$A:$A, MATCH($A293, registro!E:E, 0))," ")</f>
        <v xml:space="preserve"> </v>
      </c>
      <c r="E293" t="str">
        <f>IFERROR(INDEX(registro!$A:$A, MATCH($A293, registro!F:F, 0))," ")</f>
        <v xml:space="preserve"> </v>
      </c>
      <c r="F293" t="str">
        <f>IFERROR(INDEX(registro!$A:$A, MATCH($A293, registro!G:G, 0))," ")</f>
        <v xml:space="preserve"> </v>
      </c>
      <c r="G293" t="str">
        <f>IFERROR(INDEX(registro!$A:$A, MATCH($A293, registro!H:H, 0))," ")</f>
        <v xml:space="preserve"> </v>
      </c>
    </row>
    <row r="294" spans="1:7" x14ac:dyDescent="0.25">
      <c r="A294" s="3">
        <v>46522</v>
      </c>
      <c r="B294" t="str">
        <f>IFERROR(INDEX(registro!$A:$A, MATCH($A294, registro!C:C, 0))," ")</f>
        <v xml:space="preserve"> </v>
      </c>
      <c r="C294" t="str">
        <f>IFERROR(INDEX(registro!$A:$A, MATCH($A294, registro!D:D, 0))," ")</f>
        <v xml:space="preserve"> </v>
      </c>
      <c r="D294" t="str">
        <f>IFERROR(INDEX(registro!$A:$A, MATCH($A294, registro!E:E, 0))," ")</f>
        <v xml:space="preserve"> </v>
      </c>
      <c r="E294" t="str">
        <f>IFERROR(INDEX(registro!$A:$A, MATCH($A294, registro!F:F, 0))," ")</f>
        <v xml:space="preserve"> </v>
      </c>
      <c r="F294" t="str">
        <f>IFERROR(INDEX(registro!$A:$A, MATCH($A294, registro!G:G, 0))," ")</f>
        <v xml:space="preserve"> </v>
      </c>
      <c r="G294" t="str">
        <f>IFERROR(INDEX(registro!$A:$A, MATCH($A294, registro!H:H, 0))," ")</f>
        <v xml:space="preserve"> </v>
      </c>
    </row>
    <row r="295" spans="1:7" x14ac:dyDescent="0.25">
      <c r="A295" s="3">
        <v>46523</v>
      </c>
      <c r="B295" t="str">
        <f>IFERROR(INDEX(registro!$A:$A, MATCH($A295, registro!C:C, 0))," ")</f>
        <v xml:space="preserve"> </v>
      </c>
      <c r="C295" t="str">
        <f>IFERROR(INDEX(registro!$A:$A, MATCH($A295, registro!D:D, 0))," ")</f>
        <v xml:space="preserve"> </v>
      </c>
      <c r="D295" t="str">
        <f>IFERROR(INDEX(registro!$A:$A, MATCH($A295, registro!E:E, 0))," ")</f>
        <v xml:space="preserve"> </v>
      </c>
      <c r="E295" t="str">
        <f>IFERROR(INDEX(registro!$A:$A, MATCH($A295, registro!F:F, 0))," ")</f>
        <v xml:space="preserve"> </v>
      </c>
      <c r="F295" t="str">
        <f>IFERROR(INDEX(registro!$A:$A, MATCH($A295, registro!G:G, 0))," ")</f>
        <v xml:space="preserve"> </v>
      </c>
      <c r="G295" t="str">
        <f>IFERROR(INDEX(registro!$A:$A, MATCH($A295, registro!H:H, 0))," ")</f>
        <v xml:space="preserve"> </v>
      </c>
    </row>
    <row r="296" spans="1:7" x14ac:dyDescent="0.25">
      <c r="A296" s="3">
        <v>46524</v>
      </c>
      <c r="B296" t="str">
        <f>IFERROR(INDEX(registro!$A:$A, MATCH($A296, registro!C:C, 0))," ")</f>
        <v xml:space="preserve"> </v>
      </c>
      <c r="C296" t="str">
        <f>IFERROR(INDEX(registro!$A:$A, MATCH($A296, registro!D:D, 0))," ")</f>
        <v xml:space="preserve"> </v>
      </c>
      <c r="D296" t="str">
        <f>IFERROR(INDEX(registro!$A:$A, MATCH($A296, registro!E:E, 0))," ")</f>
        <v xml:space="preserve"> </v>
      </c>
      <c r="E296" t="str">
        <f>IFERROR(INDEX(registro!$A:$A, MATCH($A296, registro!F:F, 0))," ")</f>
        <v xml:space="preserve"> </v>
      </c>
      <c r="F296" t="str">
        <f>IFERROR(INDEX(registro!$A:$A, MATCH($A296, registro!G:G, 0))," ")</f>
        <v xml:space="preserve"> </v>
      </c>
      <c r="G296" t="str">
        <f>IFERROR(INDEX(registro!$A:$A, MATCH($A296, registro!H:H, 0))," ")</f>
        <v xml:space="preserve"> </v>
      </c>
    </row>
    <row r="297" spans="1:7" x14ac:dyDescent="0.25">
      <c r="A297" s="3">
        <v>46525</v>
      </c>
      <c r="B297" t="str">
        <f>IFERROR(INDEX(registro!$A:$A, MATCH($A297, registro!C:C, 0))," ")</f>
        <v xml:space="preserve"> </v>
      </c>
      <c r="C297" t="str">
        <f>IFERROR(INDEX(registro!$A:$A, MATCH($A297, registro!D:D, 0))," ")</f>
        <v xml:space="preserve"> </v>
      </c>
      <c r="D297" t="str">
        <f>IFERROR(INDEX(registro!$A:$A, MATCH($A297, registro!E:E, 0))," ")</f>
        <v xml:space="preserve"> </v>
      </c>
      <c r="E297" t="str">
        <f>IFERROR(INDEX(registro!$A:$A, MATCH($A297, registro!F:F, 0))," ")</f>
        <v xml:space="preserve"> </v>
      </c>
      <c r="F297" t="str">
        <f>IFERROR(INDEX(registro!$A:$A, MATCH($A297, registro!G:G, 0))," ")</f>
        <v xml:space="preserve"> </v>
      </c>
      <c r="G297" t="str">
        <f>IFERROR(INDEX(registro!$A:$A, MATCH($A297, registro!H:H, 0))," ")</f>
        <v xml:space="preserve"> </v>
      </c>
    </row>
    <row r="298" spans="1:7" x14ac:dyDescent="0.25">
      <c r="A298" s="3">
        <v>46526</v>
      </c>
      <c r="B298" t="str">
        <f>IFERROR(INDEX(registro!$A:$A, MATCH($A298, registro!C:C, 0))," ")</f>
        <v xml:space="preserve"> </v>
      </c>
      <c r="C298" t="str">
        <f>IFERROR(INDEX(registro!$A:$A, MATCH($A298, registro!D:D, 0))," ")</f>
        <v xml:space="preserve"> </v>
      </c>
      <c r="D298" t="str">
        <f>IFERROR(INDEX(registro!$A:$A, MATCH($A298, registro!E:E, 0))," ")</f>
        <v xml:space="preserve"> </v>
      </c>
      <c r="E298" t="str">
        <f>IFERROR(INDEX(registro!$A:$A, MATCH($A298, registro!F:F, 0))," ")</f>
        <v xml:space="preserve"> </v>
      </c>
      <c r="F298" t="str">
        <f>IFERROR(INDEX(registro!$A:$A, MATCH($A298, registro!G:G, 0))," ")</f>
        <v xml:space="preserve"> </v>
      </c>
      <c r="G298" t="str">
        <f>IFERROR(INDEX(registro!$A:$A, MATCH($A298, registro!H:H, 0))," ")</f>
        <v xml:space="preserve"> </v>
      </c>
    </row>
    <row r="299" spans="1:7" x14ac:dyDescent="0.25">
      <c r="A299" s="3">
        <v>46527</v>
      </c>
      <c r="B299" t="str">
        <f>IFERROR(INDEX(registro!$A:$A, MATCH($A299, registro!C:C, 0))," ")</f>
        <v xml:space="preserve"> </v>
      </c>
      <c r="C299" t="str">
        <f>IFERROR(INDEX(registro!$A:$A, MATCH($A299, registro!D:D, 0))," ")</f>
        <v xml:space="preserve"> </v>
      </c>
      <c r="D299" t="str">
        <f>IFERROR(INDEX(registro!$A:$A, MATCH($A299, registro!E:E, 0))," ")</f>
        <v xml:space="preserve"> </v>
      </c>
      <c r="E299" t="str">
        <f>IFERROR(INDEX(registro!$A:$A, MATCH($A299, registro!F:F, 0))," ")</f>
        <v xml:space="preserve"> </v>
      </c>
      <c r="F299" t="str">
        <f>IFERROR(INDEX(registro!$A:$A, MATCH($A299, registro!G:G, 0))," ")</f>
        <v xml:space="preserve"> </v>
      </c>
      <c r="G299" t="str">
        <f>IFERROR(INDEX(registro!$A:$A, MATCH($A299, registro!H:H, 0))," ")</f>
        <v xml:space="preserve"> </v>
      </c>
    </row>
    <row r="300" spans="1:7" x14ac:dyDescent="0.25">
      <c r="A300" s="3">
        <v>46528</v>
      </c>
    </row>
    <row r="301" spans="1:7" x14ac:dyDescent="0.25">
      <c r="A301" s="3">
        <v>46529</v>
      </c>
    </row>
    <row r="302" spans="1:7" x14ac:dyDescent="0.25">
      <c r="A302" s="3">
        <v>46530</v>
      </c>
    </row>
    <row r="303" spans="1:7" x14ac:dyDescent="0.25">
      <c r="A303" s="3">
        <v>46531</v>
      </c>
    </row>
    <row r="304" spans="1:7" x14ac:dyDescent="0.25">
      <c r="A304" s="3">
        <v>46532</v>
      </c>
    </row>
  </sheetData>
  <autoFilter ref="A1:G304"/>
  <conditionalFormatting sqref="A1:G1048576">
    <cfRule type="beginsWith" dxfId="17" priority="6" operator="beginsWith" text="Po">
      <formula>LEFT(A1,LEN("Po"))="Po"</formula>
    </cfRule>
    <cfRule type="beginsWith" dxfId="16" priority="5" operator="beginsWith" text="Ma">
      <formula>LEFT(A1,LEN("Ma"))="Ma"</formula>
    </cfRule>
    <cfRule type="beginsWith" dxfId="15" priority="7" operator="beginsWith" text="Qu">
      <formula>LEFT(A1,LEN("Qu"))="Qu"</formula>
    </cfRule>
  </conditionalFormatting>
  <conditionalFormatting sqref="B1:G1048576">
    <cfRule type="beginsWith" dxfId="14" priority="4" operator="beginsWith" text="Bi">
      <formula>LEFT(B1,LEN("Bi"))="Bi"</formula>
    </cfRule>
    <cfRule type="beginsWith" dxfId="13" priority="3" operator="beginsWith" text="Fí">
      <formula>LEFT(B1,LEN("Fí"))="Fí"</formula>
    </cfRule>
    <cfRule type="beginsWith" dxfId="12" priority="2" operator="beginsWith" text="Re">
      <formula>LEFT(B1,LEN("Re"))="Re"</formula>
    </cfRule>
    <cfRule type="beginsWith" dxfId="11" priority="1" operator="beginsWith" text="Revisão">
      <formula>LEFT(B1,LEN("Revisão"))="Revisão"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E5" sqref="E5"/>
    </sheetView>
  </sheetViews>
  <sheetFormatPr defaultRowHeight="15" x14ac:dyDescent="0.25"/>
  <cols>
    <col min="1" max="1" width="33.85546875" bestFit="1" customWidth="1"/>
    <col min="2" max="2" width="7.140625" bestFit="1" customWidth="1"/>
    <col min="3" max="3" width="15" style="3" bestFit="1" customWidth="1"/>
    <col min="4" max="4" width="11.42578125" style="3" bestFit="1" customWidth="1"/>
    <col min="5" max="5" width="10.7109375" style="3" bestFit="1" customWidth="1"/>
    <col min="6" max="7" width="11.42578125" style="3" bestFit="1" customWidth="1"/>
    <col min="8" max="8" width="12.42578125" style="3" bestFit="1" customWidth="1"/>
  </cols>
  <sheetData>
    <row r="1" spans="1:12" x14ac:dyDescent="0.25">
      <c r="A1" s="5" t="s">
        <v>374</v>
      </c>
      <c r="B1" s="5" t="s">
        <v>375</v>
      </c>
      <c r="C1" s="5" t="s">
        <v>363</v>
      </c>
      <c r="D1" s="6" t="s">
        <v>364</v>
      </c>
      <c r="E1" s="7" t="s">
        <v>365</v>
      </c>
      <c r="F1" s="8" t="s">
        <v>366</v>
      </c>
      <c r="G1" s="9" t="s">
        <v>367</v>
      </c>
      <c r="H1" s="10" t="s">
        <v>368</v>
      </c>
    </row>
    <row r="2" spans="1:12" x14ac:dyDescent="0.25">
      <c r="A2" s="17" t="s">
        <v>372</v>
      </c>
      <c r="B2" s="17">
        <f>VLOOKUP(LEFT(A2,2),Folha4!$A$1:$C$13,2,0)</f>
        <v>5</v>
      </c>
      <c r="C2" s="11">
        <v>46230</v>
      </c>
      <c r="D2" s="12">
        <f t="shared" ref="D2:D33" si="0">C2+1</f>
        <v>46231</v>
      </c>
      <c r="E2" s="13">
        <f t="shared" ref="E2:E33" si="1">D2+7</f>
        <v>46238</v>
      </c>
      <c r="F2" s="14">
        <f t="shared" ref="F2:F33" si="2">E2+30</f>
        <v>46268</v>
      </c>
      <c r="G2" s="15">
        <f t="shared" ref="G2:G33" si="3">F2+90</f>
        <v>46358</v>
      </c>
      <c r="H2" s="16">
        <f t="shared" ref="H2:H33" si="4">G2+180</f>
        <v>46538</v>
      </c>
      <c r="K2" s="1"/>
      <c r="L2" s="1"/>
    </row>
    <row r="3" spans="1:12" x14ac:dyDescent="0.25">
      <c r="A3" s="17"/>
      <c r="B3" s="17" t="e">
        <f>VLOOKUP(LEFT(A3,2),Folha4!$A$1:$C$13,2,0)</f>
        <v>#N/A</v>
      </c>
      <c r="C3" s="11"/>
      <c r="D3" s="12">
        <f t="shared" si="0"/>
        <v>1</v>
      </c>
      <c r="E3" s="13">
        <f t="shared" si="1"/>
        <v>8</v>
      </c>
      <c r="F3" s="14">
        <f t="shared" si="2"/>
        <v>38</v>
      </c>
      <c r="G3" s="15">
        <f t="shared" si="3"/>
        <v>128</v>
      </c>
      <c r="H3" s="16">
        <f t="shared" si="4"/>
        <v>308</v>
      </c>
    </row>
    <row r="4" spans="1:12" x14ac:dyDescent="0.25">
      <c r="A4" s="17"/>
      <c r="B4" s="17" t="e">
        <f>VLOOKUP(LEFT(A4,2),Folha4!$A$1:$C$13,2,0)</f>
        <v>#N/A</v>
      </c>
      <c r="C4" s="11"/>
      <c r="D4" s="12">
        <f t="shared" si="0"/>
        <v>1</v>
      </c>
      <c r="E4" s="13">
        <f t="shared" si="1"/>
        <v>8</v>
      </c>
      <c r="F4" s="14">
        <f t="shared" si="2"/>
        <v>38</v>
      </c>
      <c r="G4" s="15">
        <f t="shared" si="3"/>
        <v>128</v>
      </c>
      <c r="H4" s="16">
        <f t="shared" si="4"/>
        <v>308</v>
      </c>
    </row>
    <row r="5" spans="1:12" x14ac:dyDescent="0.25">
      <c r="A5" s="17"/>
      <c r="B5" s="17" t="e">
        <f>VLOOKUP(LEFT(A5,2),Folha4!$A$1:$C$13,2,0)</f>
        <v>#N/A</v>
      </c>
      <c r="C5" s="11"/>
      <c r="D5" s="12">
        <f t="shared" si="0"/>
        <v>1</v>
      </c>
      <c r="E5" s="13">
        <f t="shared" si="1"/>
        <v>8</v>
      </c>
      <c r="F5" s="14">
        <f t="shared" si="2"/>
        <v>38</v>
      </c>
      <c r="G5" s="15">
        <f t="shared" si="3"/>
        <v>128</v>
      </c>
      <c r="H5" s="16">
        <f t="shared" si="4"/>
        <v>308</v>
      </c>
    </row>
    <row r="6" spans="1:12" x14ac:dyDescent="0.25">
      <c r="A6" s="17"/>
      <c r="B6" s="17" t="e">
        <f>VLOOKUP(LEFT(A6,2),Folha4!$A$1:$C$13,2,0)</f>
        <v>#N/A</v>
      </c>
      <c r="C6" s="11"/>
      <c r="D6" s="12">
        <f t="shared" si="0"/>
        <v>1</v>
      </c>
      <c r="E6" s="13">
        <f t="shared" si="1"/>
        <v>8</v>
      </c>
      <c r="F6" s="14">
        <f t="shared" si="2"/>
        <v>38</v>
      </c>
      <c r="G6" s="15">
        <f t="shared" si="3"/>
        <v>128</v>
      </c>
      <c r="H6" s="16">
        <f t="shared" si="4"/>
        <v>308</v>
      </c>
    </row>
    <row r="7" spans="1:12" x14ac:dyDescent="0.25">
      <c r="A7" s="17"/>
      <c r="B7" s="17" t="e">
        <f>VLOOKUP(LEFT(A7,2),Folha4!$A$1:$C$13,2,0)</f>
        <v>#N/A</v>
      </c>
      <c r="C7" s="11"/>
      <c r="D7" s="12">
        <f t="shared" si="0"/>
        <v>1</v>
      </c>
      <c r="E7" s="13">
        <f t="shared" si="1"/>
        <v>8</v>
      </c>
      <c r="F7" s="14">
        <f t="shared" si="2"/>
        <v>38</v>
      </c>
      <c r="G7" s="15">
        <f t="shared" si="3"/>
        <v>128</v>
      </c>
      <c r="H7" s="16">
        <f t="shared" si="4"/>
        <v>308</v>
      </c>
    </row>
    <row r="8" spans="1:12" x14ac:dyDescent="0.25">
      <c r="A8" s="17"/>
      <c r="B8" s="17" t="e">
        <f>VLOOKUP(LEFT(A8,2),Folha4!$A$1:$C$13,2,0)</f>
        <v>#N/A</v>
      </c>
      <c r="C8" s="11"/>
      <c r="D8" s="12">
        <f t="shared" si="0"/>
        <v>1</v>
      </c>
      <c r="E8" s="13">
        <f t="shared" si="1"/>
        <v>8</v>
      </c>
      <c r="F8" s="14">
        <f t="shared" si="2"/>
        <v>38</v>
      </c>
      <c r="G8" s="15">
        <f t="shared" si="3"/>
        <v>128</v>
      </c>
      <c r="H8" s="16">
        <f t="shared" si="4"/>
        <v>308</v>
      </c>
    </row>
    <row r="9" spans="1:12" x14ac:dyDescent="0.25">
      <c r="A9" s="17"/>
      <c r="B9" s="17" t="e">
        <f>VLOOKUP(LEFT(A9,2),Folha4!$A$1:$C$13,2,0)</f>
        <v>#N/A</v>
      </c>
      <c r="C9" s="11"/>
      <c r="D9" s="12">
        <f t="shared" si="0"/>
        <v>1</v>
      </c>
      <c r="E9" s="13">
        <f t="shared" si="1"/>
        <v>8</v>
      </c>
      <c r="F9" s="14">
        <f t="shared" si="2"/>
        <v>38</v>
      </c>
      <c r="G9" s="15">
        <f t="shared" si="3"/>
        <v>128</v>
      </c>
      <c r="H9" s="16">
        <f t="shared" si="4"/>
        <v>308</v>
      </c>
    </row>
    <row r="10" spans="1:12" x14ac:dyDescent="0.25">
      <c r="A10" s="17"/>
      <c r="B10" s="17" t="e">
        <f>VLOOKUP(LEFT(A10,2),Folha4!$A$1:$C$13,2,0)</f>
        <v>#N/A</v>
      </c>
      <c r="C10" s="11"/>
      <c r="D10" s="12">
        <f t="shared" si="0"/>
        <v>1</v>
      </c>
      <c r="E10" s="13">
        <f t="shared" si="1"/>
        <v>8</v>
      </c>
      <c r="F10" s="14">
        <f t="shared" si="2"/>
        <v>38</v>
      </c>
      <c r="G10" s="15">
        <f t="shared" si="3"/>
        <v>128</v>
      </c>
      <c r="H10" s="16">
        <f t="shared" si="4"/>
        <v>308</v>
      </c>
    </row>
    <row r="11" spans="1:12" x14ac:dyDescent="0.25">
      <c r="A11" s="17"/>
      <c r="B11" s="17" t="e">
        <f>VLOOKUP(LEFT(A11,2),Folha4!$A$1:$C$13,2,0)</f>
        <v>#N/A</v>
      </c>
      <c r="C11" s="11"/>
      <c r="D11" s="12">
        <f t="shared" si="0"/>
        <v>1</v>
      </c>
      <c r="E11" s="13">
        <f t="shared" si="1"/>
        <v>8</v>
      </c>
      <c r="F11" s="14">
        <f t="shared" si="2"/>
        <v>38</v>
      </c>
      <c r="G11" s="15">
        <f t="shared" si="3"/>
        <v>128</v>
      </c>
      <c r="H11" s="16">
        <f t="shared" si="4"/>
        <v>308</v>
      </c>
    </row>
    <row r="12" spans="1:12" x14ac:dyDescent="0.25">
      <c r="A12" s="17"/>
      <c r="B12" s="17" t="e">
        <f>VLOOKUP(LEFT(A12,2),Folha4!$A$1:$C$13,2,0)</f>
        <v>#N/A</v>
      </c>
      <c r="C12" s="11"/>
      <c r="D12" s="12">
        <f t="shared" si="0"/>
        <v>1</v>
      </c>
      <c r="E12" s="13">
        <f t="shared" si="1"/>
        <v>8</v>
      </c>
      <c r="F12" s="14">
        <f t="shared" si="2"/>
        <v>38</v>
      </c>
      <c r="G12" s="15">
        <f t="shared" si="3"/>
        <v>128</v>
      </c>
      <c r="H12" s="16">
        <f t="shared" si="4"/>
        <v>308</v>
      </c>
    </row>
    <row r="13" spans="1:12" x14ac:dyDescent="0.25">
      <c r="A13" s="17"/>
      <c r="B13" s="17" t="e">
        <f>VLOOKUP(LEFT(A13,2),Folha4!$A$1:$C$13,2,0)</f>
        <v>#N/A</v>
      </c>
      <c r="C13" s="11"/>
      <c r="D13" s="12">
        <f t="shared" si="0"/>
        <v>1</v>
      </c>
      <c r="E13" s="13">
        <f t="shared" si="1"/>
        <v>8</v>
      </c>
      <c r="F13" s="14">
        <f t="shared" si="2"/>
        <v>38</v>
      </c>
      <c r="G13" s="15">
        <f t="shared" si="3"/>
        <v>128</v>
      </c>
      <c r="H13" s="16">
        <f t="shared" si="4"/>
        <v>308</v>
      </c>
    </row>
    <row r="14" spans="1:12" x14ac:dyDescent="0.25">
      <c r="A14" s="17"/>
      <c r="B14" s="17" t="e">
        <f>VLOOKUP(LEFT(A14,2),Folha4!$A$1:$C$13,2,0)</f>
        <v>#N/A</v>
      </c>
      <c r="C14" s="11"/>
      <c r="D14" s="12">
        <f t="shared" si="0"/>
        <v>1</v>
      </c>
      <c r="E14" s="13">
        <f t="shared" si="1"/>
        <v>8</v>
      </c>
      <c r="F14" s="14">
        <f t="shared" si="2"/>
        <v>38</v>
      </c>
      <c r="G14" s="15">
        <f t="shared" si="3"/>
        <v>128</v>
      </c>
      <c r="H14" s="16">
        <f t="shared" si="4"/>
        <v>308</v>
      </c>
    </row>
    <row r="15" spans="1:12" x14ac:dyDescent="0.25">
      <c r="A15" s="17"/>
      <c r="B15" s="17" t="e">
        <f>VLOOKUP(LEFT(A15,2),Folha4!$A$1:$C$13,2,0)</f>
        <v>#N/A</v>
      </c>
      <c r="C15" s="11"/>
      <c r="D15" s="12">
        <f t="shared" si="0"/>
        <v>1</v>
      </c>
      <c r="E15" s="13">
        <f t="shared" si="1"/>
        <v>8</v>
      </c>
      <c r="F15" s="14">
        <f t="shared" si="2"/>
        <v>38</v>
      </c>
      <c r="G15" s="15">
        <f t="shared" si="3"/>
        <v>128</v>
      </c>
      <c r="H15" s="16">
        <f t="shared" si="4"/>
        <v>308</v>
      </c>
    </row>
    <row r="16" spans="1:12" x14ac:dyDescent="0.25">
      <c r="A16" s="17"/>
      <c r="B16" s="17" t="e">
        <f>VLOOKUP(LEFT(A16,2),Folha4!$A$1:$C$13,2,0)</f>
        <v>#N/A</v>
      </c>
      <c r="C16" s="11"/>
      <c r="D16" s="12">
        <f t="shared" si="0"/>
        <v>1</v>
      </c>
      <c r="E16" s="13">
        <f t="shared" si="1"/>
        <v>8</v>
      </c>
      <c r="F16" s="14">
        <f t="shared" si="2"/>
        <v>38</v>
      </c>
      <c r="G16" s="15">
        <f t="shared" si="3"/>
        <v>128</v>
      </c>
      <c r="H16" s="16">
        <f t="shared" si="4"/>
        <v>308</v>
      </c>
    </row>
    <row r="17" spans="1:8" x14ac:dyDescent="0.25">
      <c r="A17" s="17"/>
      <c r="B17" s="17" t="e">
        <f>VLOOKUP(LEFT(A17,2),Folha4!$A$1:$C$13,2,0)</f>
        <v>#N/A</v>
      </c>
      <c r="C17" s="11"/>
      <c r="D17" s="12">
        <f t="shared" si="0"/>
        <v>1</v>
      </c>
      <c r="E17" s="13">
        <f t="shared" si="1"/>
        <v>8</v>
      </c>
      <c r="F17" s="14">
        <f t="shared" si="2"/>
        <v>38</v>
      </c>
      <c r="G17" s="15">
        <f t="shared" si="3"/>
        <v>128</v>
      </c>
      <c r="H17" s="16">
        <f t="shared" si="4"/>
        <v>308</v>
      </c>
    </row>
    <row r="18" spans="1:8" x14ac:dyDescent="0.25">
      <c r="A18" s="17"/>
      <c r="B18" s="17" t="e">
        <f>VLOOKUP(LEFT(A18,2),Folha4!$A$1:$C$13,2,0)</f>
        <v>#N/A</v>
      </c>
      <c r="C18" s="11"/>
      <c r="D18" s="12">
        <f t="shared" si="0"/>
        <v>1</v>
      </c>
      <c r="E18" s="13">
        <f t="shared" si="1"/>
        <v>8</v>
      </c>
      <c r="F18" s="14">
        <f t="shared" si="2"/>
        <v>38</v>
      </c>
      <c r="G18" s="15">
        <f t="shared" si="3"/>
        <v>128</v>
      </c>
      <c r="H18" s="16">
        <f t="shared" si="4"/>
        <v>308</v>
      </c>
    </row>
    <row r="19" spans="1:8" x14ac:dyDescent="0.25">
      <c r="A19" s="17"/>
      <c r="B19" s="17" t="e">
        <f>VLOOKUP(LEFT(A19,2),Folha4!$A$1:$C$13,2,0)</f>
        <v>#N/A</v>
      </c>
      <c r="C19" s="11"/>
      <c r="D19" s="12">
        <f t="shared" si="0"/>
        <v>1</v>
      </c>
      <c r="E19" s="13">
        <f t="shared" si="1"/>
        <v>8</v>
      </c>
      <c r="F19" s="14">
        <f t="shared" si="2"/>
        <v>38</v>
      </c>
      <c r="G19" s="15">
        <f t="shared" si="3"/>
        <v>128</v>
      </c>
      <c r="H19" s="16">
        <f t="shared" si="4"/>
        <v>308</v>
      </c>
    </row>
    <row r="20" spans="1:8" x14ac:dyDescent="0.25">
      <c r="A20" s="17"/>
      <c r="B20" s="17" t="e">
        <f>VLOOKUP(LEFT(A20,2),Folha4!$A$1:$C$13,2,0)</f>
        <v>#N/A</v>
      </c>
      <c r="C20" s="11"/>
      <c r="D20" s="12">
        <f t="shared" si="0"/>
        <v>1</v>
      </c>
      <c r="E20" s="13">
        <f t="shared" si="1"/>
        <v>8</v>
      </c>
      <c r="F20" s="14">
        <f t="shared" si="2"/>
        <v>38</v>
      </c>
      <c r="G20" s="15">
        <f t="shared" si="3"/>
        <v>128</v>
      </c>
      <c r="H20" s="16">
        <f t="shared" si="4"/>
        <v>308</v>
      </c>
    </row>
    <row r="21" spans="1:8" x14ac:dyDescent="0.25">
      <c r="A21" s="17"/>
      <c r="B21" s="17" t="e">
        <f>VLOOKUP(LEFT(A21,2),Folha4!$A$1:$C$13,2,0)</f>
        <v>#N/A</v>
      </c>
      <c r="C21" s="11"/>
      <c r="D21" s="12">
        <f t="shared" si="0"/>
        <v>1</v>
      </c>
      <c r="E21" s="13">
        <f t="shared" si="1"/>
        <v>8</v>
      </c>
      <c r="F21" s="14">
        <f t="shared" si="2"/>
        <v>38</v>
      </c>
      <c r="G21" s="15">
        <f t="shared" si="3"/>
        <v>128</v>
      </c>
      <c r="H21" s="16">
        <f t="shared" si="4"/>
        <v>308</v>
      </c>
    </row>
    <row r="22" spans="1:8" x14ac:dyDescent="0.25">
      <c r="A22" s="17"/>
      <c r="B22" s="17" t="e">
        <f>VLOOKUP(LEFT(A22,2),Folha4!$A$1:$C$13,2,0)</f>
        <v>#N/A</v>
      </c>
      <c r="C22" s="11"/>
      <c r="D22" s="12">
        <f t="shared" si="0"/>
        <v>1</v>
      </c>
      <c r="E22" s="13">
        <f t="shared" si="1"/>
        <v>8</v>
      </c>
      <c r="F22" s="14">
        <f t="shared" si="2"/>
        <v>38</v>
      </c>
      <c r="G22" s="15">
        <f t="shared" si="3"/>
        <v>128</v>
      </c>
      <c r="H22" s="16">
        <f t="shared" si="4"/>
        <v>308</v>
      </c>
    </row>
    <row r="23" spans="1:8" x14ac:dyDescent="0.25">
      <c r="A23" s="17"/>
      <c r="B23" s="17" t="e">
        <f>VLOOKUP(LEFT(A23,2),Folha4!$A$1:$C$13,2,0)</f>
        <v>#N/A</v>
      </c>
      <c r="C23" s="11"/>
      <c r="D23" s="12">
        <f t="shared" si="0"/>
        <v>1</v>
      </c>
      <c r="E23" s="13">
        <f t="shared" si="1"/>
        <v>8</v>
      </c>
      <c r="F23" s="14">
        <f t="shared" si="2"/>
        <v>38</v>
      </c>
      <c r="G23" s="15">
        <f t="shared" si="3"/>
        <v>128</v>
      </c>
      <c r="H23" s="16">
        <f t="shared" si="4"/>
        <v>308</v>
      </c>
    </row>
    <row r="24" spans="1:8" x14ac:dyDescent="0.25">
      <c r="A24" s="17"/>
      <c r="B24" s="17" t="e">
        <f>VLOOKUP(LEFT(A24,2),Folha4!$A$1:$C$13,2,0)</f>
        <v>#N/A</v>
      </c>
      <c r="C24" s="11"/>
      <c r="D24" s="12">
        <f t="shared" si="0"/>
        <v>1</v>
      </c>
      <c r="E24" s="13">
        <f t="shared" si="1"/>
        <v>8</v>
      </c>
      <c r="F24" s="14">
        <f t="shared" si="2"/>
        <v>38</v>
      </c>
      <c r="G24" s="15">
        <f t="shared" si="3"/>
        <v>128</v>
      </c>
      <c r="H24" s="16">
        <f t="shared" si="4"/>
        <v>308</v>
      </c>
    </row>
    <row r="25" spans="1:8" x14ac:dyDescent="0.25">
      <c r="A25" s="17"/>
      <c r="B25" s="17" t="e">
        <f>VLOOKUP(LEFT(A25,2),Folha4!$A$1:$C$13,2,0)</f>
        <v>#N/A</v>
      </c>
      <c r="C25" s="11"/>
      <c r="D25" s="12">
        <f t="shared" si="0"/>
        <v>1</v>
      </c>
      <c r="E25" s="13">
        <f t="shared" si="1"/>
        <v>8</v>
      </c>
      <c r="F25" s="14">
        <f t="shared" si="2"/>
        <v>38</v>
      </c>
      <c r="G25" s="15">
        <f t="shared" si="3"/>
        <v>128</v>
      </c>
      <c r="H25" s="16">
        <f t="shared" si="4"/>
        <v>308</v>
      </c>
    </row>
    <row r="26" spans="1:8" x14ac:dyDescent="0.25">
      <c r="A26" s="17"/>
      <c r="B26" s="17" t="e">
        <f>VLOOKUP(LEFT(A26,2),Folha4!$A$1:$C$13,2,0)</f>
        <v>#N/A</v>
      </c>
      <c r="C26" s="11"/>
      <c r="D26" s="12">
        <f t="shared" si="0"/>
        <v>1</v>
      </c>
      <c r="E26" s="13">
        <f t="shared" si="1"/>
        <v>8</v>
      </c>
      <c r="F26" s="14">
        <f t="shared" si="2"/>
        <v>38</v>
      </c>
      <c r="G26" s="15">
        <f t="shared" si="3"/>
        <v>128</v>
      </c>
      <c r="H26" s="16">
        <f t="shared" si="4"/>
        <v>308</v>
      </c>
    </row>
    <row r="27" spans="1:8" x14ac:dyDescent="0.25">
      <c r="A27" s="17"/>
      <c r="B27" s="17" t="e">
        <f>VLOOKUP(LEFT(A27,2),Folha4!$A$1:$C$13,2,0)</f>
        <v>#N/A</v>
      </c>
      <c r="C27" s="11"/>
      <c r="D27" s="12">
        <f t="shared" si="0"/>
        <v>1</v>
      </c>
      <c r="E27" s="13">
        <f t="shared" si="1"/>
        <v>8</v>
      </c>
      <c r="F27" s="14">
        <f t="shared" si="2"/>
        <v>38</v>
      </c>
      <c r="G27" s="15">
        <f t="shared" si="3"/>
        <v>128</v>
      </c>
      <c r="H27" s="16">
        <f t="shared" si="4"/>
        <v>308</v>
      </c>
    </row>
    <row r="28" spans="1:8" x14ac:dyDescent="0.25">
      <c r="A28" s="17"/>
      <c r="B28" s="17" t="e">
        <f>VLOOKUP(LEFT(A28,2),Folha4!$A$1:$C$13,2,0)</f>
        <v>#N/A</v>
      </c>
      <c r="C28" s="11"/>
      <c r="D28" s="12">
        <f t="shared" si="0"/>
        <v>1</v>
      </c>
      <c r="E28" s="13">
        <f t="shared" si="1"/>
        <v>8</v>
      </c>
      <c r="F28" s="14">
        <f t="shared" si="2"/>
        <v>38</v>
      </c>
      <c r="G28" s="15">
        <f t="shared" si="3"/>
        <v>128</v>
      </c>
      <c r="H28" s="16">
        <f t="shared" si="4"/>
        <v>308</v>
      </c>
    </row>
    <row r="29" spans="1:8" x14ac:dyDescent="0.25">
      <c r="A29" s="17"/>
      <c r="B29" s="17" t="e">
        <f>VLOOKUP(LEFT(A29,2),Folha4!$A$1:$C$13,2,0)</f>
        <v>#N/A</v>
      </c>
      <c r="C29" s="11"/>
      <c r="D29" s="12">
        <f t="shared" si="0"/>
        <v>1</v>
      </c>
      <c r="E29" s="13">
        <f t="shared" si="1"/>
        <v>8</v>
      </c>
      <c r="F29" s="14">
        <f t="shared" si="2"/>
        <v>38</v>
      </c>
      <c r="G29" s="15">
        <f t="shared" si="3"/>
        <v>128</v>
      </c>
      <c r="H29" s="16">
        <f t="shared" si="4"/>
        <v>308</v>
      </c>
    </row>
    <row r="30" spans="1:8" x14ac:dyDescent="0.25">
      <c r="A30" s="17"/>
      <c r="B30" s="17" t="e">
        <f>VLOOKUP(LEFT(A30,2),Folha4!$A$1:$C$13,2,0)</f>
        <v>#N/A</v>
      </c>
      <c r="C30" s="11"/>
      <c r="D30" s="12">
        <f t="shared" si="0"/>
        <v>1</v>
      </c>
      <c r="E30" s="13">
        <f t="shared" si="1"/>
        <v>8</v>
      </c>
      <c r="F30" s="14">
        <f t="shared" si="2"/>
        <v>38</v>
      </c>
      <c r="G30" s="15">
        <f t="shared" si="3"/>
        <v>128</v>
      </c>
      <c r="H30" s="16">
        <f t="shared" si="4"/>
        <v>308</v>
      </c>
    </row>
    <row r="31" spans="1:8" x14ac:dyDescent="0.25">
      <c r="A31" s="17"/>
      <c r="B31" s="17" t="e">
        <f>VLOOKUP(LEFT(A31,2),Folha4!$A$1:$C$13,2,0)</f>
        <v>#N/A</v>
      </c>
      <c r="C31" s="11"/>
      <c r="D31" s="12">
        <f t="shared" si="0"/>
        <v>1</v>
      </c>
      <c r="E31" s="13">
        <f t="shared" si="1"/>
        <v>8</v>
      </c>
      <c r="F31" s="14">
        <f t="shared" si="2"/>
        <v>38</v>
      </c>
      <c r="G31" s="15">
        <f t="shared" si="3"/>
        <v>128</v>
      </c>
      <c r="H31" s="16">
        <f t="shared" si="4"/>
        <v>308</v>
      </c>
    </row>
    <row r="32" spans="1:8" x14ac:dyDescent="0.25">
      <c r="A32" s="17"/>
      <c r="B32" s="17" t="e">
        <f>VLOOKUP(LEFT(A32,2),Folha4!$A$1:$C$13,2,0)</f>
        <v>#N/A</v>
      </c>
      <c r="C32" s="11"/>
      <c r="D32" s="12">
        <f t="shared" si="0"/>
        <v>1</v>
      </c>
      <c r="E32" s="13">
        <f t="shared" si="1"/>
        <v>8</v>
      </c>
      <c r="F32" s="14">
        <f t="shared" si="2"/>
        <v>38</v>
      </c>
      <c r="G32" s="15">
        <f t="shared" si="3"/>
        <v>128</v>
      </c>
      <c r="H32" s="16">
        <f t="shared" si="4"/>
        <v>308</v>
      </c>
    </row>
    <row r="33" spans="1:8" x14ac:dyDescent="0.25">
      <c r="A33" s="17"/>
      <c r="B33" s="17" t="e">
        <f>VLOOKUP(LEFT(A33,2),Folha4!$A$1:$C$13,2,0)</f>
        <v>#N/A</v>
      </c>
      <c r="C33" s="11"/>
      <c r="D33" s="12">
        <f t="shared" si="0"/>
        <v>1</v>
      </c>
      <c r="E33" s="13">
        <f t="shared" si="1"/>
        <v>8</v>
      </c>
      <c r="F33" s="14">
        <f t="shared" si="2"/>
        <v>38</v>
      </c>
      <c r="G33" s="15">
        <f t="shared" si="3"/>
        <v>128</v>
      </c>
      <c r="H33" s="16">
        <f t="shared" si="4"/>
        <v>308</v>
      </c>
    </row>
  </sheetData>
  <conditionalFormatting sqref="C1:H1">
    <cfRule type="beginsWith" dxfId="10" priority="38" operator="beginsWith" text="Po">
      <formula>LEFT(C1,LEN("Po"))="Po"</formula>
    </cfRule>
  </conditionalFormatting>
  <conditionalFormatting sqref="A2">
    <cfRule type="beginsWith" dxfId="9" priority="37" operator="beginsWith" text="Po">
      <formula>LEFT(A2,LEN("Po"))="Po"</formula>
    </cfRule>
  </conditionalFormatting>
  <conditionalFormatting sqref="A3:A9">
    <cfRule type="beginsWith" dxfId="8" priority="15" operator="beginsWith" text="Po">
      <formula>LEFT(A3,LEN("Po"))="Po"</formula>
    </cfRule>
  </conditionalFormatting>
  <conditionalFormatting sqref="A10">
    <cfRule type="beginsWith" dxfId="7" priority="13" operator="beginsWith" text="Po">
      <formula>LEFT(A10,LEN("Po"))="Po"</formula>
    </cfRule>
  </conditionalFormatting>
  <conditionalFormatting sqref="A11:A17">
    <cfRule type="beginsWith" dxfId="6" priority="11" operator="beginsWith" text="Po">
      <formula>LEFT(A11,LEN("Po"))="Po"</formula>
    </cfRule>
  </conditionalFormatting>
  <conditionalFormatting sqref="A18">
    <cfRule type="beginsWith" dxfId="5" priority="9" operator="beginsWith" text="Po">
      <formula>LEFT(A18,LEN("Po"))="Po"</formula>
    </cfRule>
  </conditionalFormatting>
  <conditionalFormatting sqref="A19:A25">
    <cfRule type="beginsWith" dxfId="4" priority="7" operator="beginsWith" text="Po">
      <formula>LEFT(A19,LEN("Po"))="Po"</formula>
    </cfRule>
  </conditionalFormatting>
  <conditionalFormatting sqref="A26">
    <cfRule type="beginsWith" dxfId="3" priority="5" operator="beginsWith" text="Po">
      <formula>LEFT(A26,LEN("Po"))="Po"</formula>
    </cfRule>
  </conditionalFormatting>
  <conditionalFormatting sqref="A27:A33">
    <cfRule type="beginsWith" dxfId="2" priority="3" operator="beginsWith" text="Po">
      <formula>LEFT(A27,LEN("Po"))="Po"</formula>
    </cfRule>
  </conditionalFormatting>
  <conditionalFormatting sqref="A1:B1">
    <cfRule type="beginsWith" dxfId="1" priority="2" operator="beginsWith" text="Po">
      <formula>LEFT(A1,LEN("Po"))="Po"</formula>
    </cfRule>
  </conditionalFormatting>
  <conditionalFormatting sqref="B2:B33">
    <cfRule type="beginsWith" dxfId="0" priority="1" operator="beginsWith" text="Po">
      <formula>LEFT(B2,LEN("Po"))="Po"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Folha1</vt:lpstr>
      <vt:lpstr>Folha4</vt:lpstr>
      <vt:lpstr>Calendário</vt:lpstr>
      <vt:lpstr>registro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2026-10-12T22:35:59Z</dcterms:modified>
</cp:coreProperties>
</file>